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검증계산" sheetId="2" state="visible" r:id="rId2"/>
    <sheet xmlns:r="http://schemas.openxmlformats.org/officeDocument/2006/relationships" name="원천값 확인" sheetId="3" state="visible" r:id="rId3"/>
    <sheet xmlns:r="http://schemas.openxmlformats.org/officeDocument/2006/relationships" name="커버리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원천값 확인 시트 (사람이 확인)</t>
        </is>
      </c>
    </row>
    <row r="10">
      <c r="A10" t="inlineStr">
        <is>
          <t xml:space="preserve">  · 각 행의 DART 링크를 열어 해당 계정 금액이 맞는지 확인 후 '확인' 칸에 O/X 입력</t>
        </is>
      </c>
    </row>
    <row r="11">
      <c r="A11" t="inlineStr">
        <is>
          <t xml:space="preserve">  · X가 나오면 계정 매핑 규칙(config/account_rules.yaml) 수정 대상</t>
        </is>
      </c>
    </row>
    <row r="12">
      <c r="A12" t="inlineStr"/>
    </row>
    <row r="13">
      <c r="A13" t="inlineStr">
        <is>
          <t>■ 커버리지 시트: 지표별 계산 가능 비율과 무효 사유</t>
        </is>
      </c>
    </row>
    <row r="14">
      <c r="A14" t="inlineStr"/>
    </row>
    <row r="15">
      <c r="A15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2" t="inlineStr">
        <is>
          <t>회사</t>
        </is>
      </c>
      <c r="B1" s="2" t="inlineStr">
        <is>
          <t>종목코드</t>
        </is>
      </c>
      <c r="C1" s="2" t="inlineStr">
        <is>
          <t>기준분기</t>
        </is>
      </c>
      <c r="D1" s="2" t="inlineStr">
        <is>
          <t>연결/별도</t>
        </is>
      </c>
      <c r="E1" s="2" t="inlineStr">
        <is>
          <t>시가총액</t>
        </is>
      </c>
      <c r="F1" s="2" t="inlineStr">
        <is>
          <t>지배주주순이익 YTD당기</t>
        </is>
      </c>
      <c r="G1" s="2" t="inlineStr">
        <is>
          <t>지배주주순이익 연간(전년)</t>
        </is>
      </c>
      <c r="H1" s="2" t="inlineStr">
        <is>
          <t>지배주주순이익 YTD전년동기</t>
        </is>
      </c>
      <c r="I1" s="2" t="inlineStr">
        <is>
          <t>지배주주순이익 TTM[엑셀]</t>
        </is>
      </c>
      <c r="J1" s="2" t="inlineStr">
        <is>
          <t>지배주주순이익 TTM[파이썬]</t>
        </is>
      </c>
      <c r="K1" s="2" t="inlineStr">
        <is>
          <t>지배주주순이익 일치</t>
        </is>
      </c>
      <c r="L1" s="2" t="inlineStr">
        <is>
          <t>당기순이익 YTD당기</t>
        </is>
      </c>
      <c r="M1" s="2" t="inlineStr">
        <is>
          <t>당기순이익 연간(전년)</t>
        </is>
      </c>
      <c r="N1" s="2" t="inlineStr">
        <is>
          <t>당기순이익 YTD전년동기</t>
        </is>
      </c>
      <c r="O1" s="2" t="inlineStr">
        <is>
          <t>당기순이익 TTM[엑셀]</t>
        </is>
      </c>
      <c r="P1" s="2" t="inlineStr">
        <is>
          <t>당기순이익 TTM[파이썬]</t>
        </is>
      </c>
      <c r="Q1" s="2" t="inlineStr">
        <is>
          <t>당기순이익 일치</t>
        </is>
      </c>
      <c r="R1" s="2" t="inlineStr">
        <is>
          <t>매출액 YTD당기</t>
        </is>
      </c>
      <c r="S1" s="2" t="inlineStr">
        <is>
          <t>매출액 연간(전년)</t>
        </is>
      </c>
      <c r="T1" s="2" t="inlineStr">
        <is>
          <t>매출액 YTD전년동기</t>
        </is>
      </c>
      <c r="U1" s="2" t="inlineStr">
        <is>
          <t>매출액 TTM[엑셀]</t>
        </is>
      </c>
      <c r="V1" s="2" t="inlineStr">
        <is>
          <t>매출액 TTM[파이썬]</t>
        </is>
      </c>
      <c r="W1" s="2" t="inlineStr">
        <is>
          <t>매출액 일치</t>
        </is>
      </c>
      <c r="X1" s="2" t="inlineStr">
        <is>
          <t>매출총이익 YTD당기</t>
        </is>
      </c>
      <c r="Y1" s="2" t="inlineStr">
        <is>
          <t>매출총이익 연간(전년)</t>
        </is>
      </c>
      <c r="Z1" s="2" t="inlineStr">
        <is>
          <t>매출총이익 YTD전년동기</t>
        </is>
      </c>
      <c r="AA1" s="2" t="inlineStr">
        <is>
          <t>매출총이익 TTM[엑셀]</t>
        </is>
      </c>
      <c r="AB1" s="2" t="inlineStr">
        <is>
          <t>매출총이익 TTM[파이썬]</t>
        </is>
      </c>
      <c r="AC1" s="2" t="inlineStr">
        <is>
          <t>매출총이익 일치</t>
        </is>
      </c>
      <c r="AD1" s="2" t="inlineStr">
        <is>
          <t>영업이익 YTD당기</t>
        </is>
      </c>
      <c r="AE1" s="2" t="inlineStr">
        <is>
          <t>영업이익 연간(전년)</t>
        </is>
      </c>
      <c r="AF1" s="2" t="inlineStr">
        <is>
          <t>영업이익 YTD전년동기</t>
        </is>
      </c>
      <c r="AG1" s="2" t="inlineStr">
        <is>
          <t>영업이익 TTM[엑셀]</t>
        </is>
      </c>
      <c r="AH1" s="2" t="inlineStr">
        <is>
          <t>영업이익 TTM[파이썬]</t>
        </is>
      </c>
      <c r="AI1" s="2" t="inlineStr">
        <is>
          <t>영업이익 일치</t>
        </is>
      </c>
      <c r="AJ1" s="2" t="inlineStr">
        <is>
          <t>영업현금흐름 YTD당기</t>
        </is>
      </c>
      <c r="AK1" s="2" t="inlineStr">
        <is>
          <t>영업현금흐름 연간(전년)</t>
        </is>
      </c>
      <c r="AL1" s="2" t="inlineStr">
        <is>
          <t>영업현금흐름 YTD전년동기</t>
        </is>
      </c>
      <c r="AM1" s="2" t="inlineStr">
        <is>
          <t>영업현금흐름 TTM[엑셀]</t>
        </is>
      </c>
      <c r="AN1" s="2" t="inlineStr">
        <is>
          <t>영업현금흐름 TTM[파이썬]</t>
        </is>
      </c>
      <c r="AO1" s="2" t="inlineStr">
        <is>
          <t>영업현금흐름 일치</t>
        </is>
      </c>
      <c r="AP1" s="2" t="inlineStr">
        <is>
          <t>지배주주자본 당기말</t>
        </is>
      </c>
      <c r="AQ1" s="2" t="inlineStr">
        <is>
          <t>지배주주자본 전년동기말</t>
        </is>
      </c>
      <c r="AR1" s="2" t="inlineStr">
        <is>
          <t>자산총계 당기말</t>
        </is>
      </c>
      <c r="AS1" s="2" t="inlineStr">
        <is>
          <t>자산총계 전년동기말</t>
        </is>
      </c>
      <c r="AT1" s="2" t="inlineStr">
        <is>
          <t>이자부부채 당기말</t>
        </is>
      </c>
      <c r="AU1" s="2" t="inlineStr">
        <is>
          <t>이자부부채 전년동기말</t>
        </is>
      </c>
      <c r="AV1" s="2" t="inlineStr">
        <is>
          <t>현금성자산 당기말</t>
        </is>
      </c>
      <c r="AW1" s="2" t="inlineStr">
        <is>
          <t>현금성자산 전년동기말</t>
        </is>
      </c>
      <c r="AX1" s="2" t="inlineStr">
        <is>
          <t>단기금융상품 당기말</t>
        </is>
      </c>
      <c r="AY1" s="2" t="inlineStr">
        <is>
          <t>단기금융상품 전년동기말</t>
        </is>
      </c>
      <c r="AZ1" s="2" t="inlineStr">
        <is>
          <t>E/P[엑셀]</t>
        </is>
      </c>
      <c r="BA1" s="2" t="inlineStr">
        <is>
          <t>E/P[파이썬]</t>
        </is>
      </c>
      <c r="BB1" s="2" t="inlineStr">
        <is>
          <t>E/P 일치</t>
        </is>
      </c>
      <c r="BC1" s="2" t="inlineStr">
        <is>
          <t>B/P[엑셀]</t>
        </is>
      </c>
      <c r="BD1" s="2" t="inlineStr">
        <is>
          <t>B/P[파이썬]</t>
        </is>
      </c>
      <c r="BE1" s="2" t="inlineStr">
        <is>
          <t>B/P 일치</t>
        </is>
      </c>
      <c r="BF1" s="2" t="inlineStr">
        <is>
          <t>ROE[엑셀]</t>
        </is>
      </c>
      <c r="BG1" s="2" t="inlineStr">
        <is>
          <t>ROE[파이썬]</t>
        </is>
      </c>
      <c r="BH1" s="2" t="inlineStr">
        <is>
          <t>ROE 일치</t>
        </is>
      </c>
      <c r="BI1" s="2" t="inlineStr">
        <is>
          <t>GP/A[엑셀]</t>
        </is>
      </c>
      <c r="BJ1" s="2" t="inlineStr">
        <is>
          <t>GP/A[파이썬]</t>
        </is>
      </c>
      <c r="BK1" s="2" t="inlineStr">
        <is>
          <t>GP/A 일치</t>
        </is>
      </c>
      <c r="BL1" s="2" t="inlineStr">
        <is>
          <t>EV[엑셀]</t>
        </is>
      </c>
      <c r="BM1" s="2" t="inlineStr">
        <is>
          <t>EV[파이썬]</t>
        </is>
      </c>
      <c r="BN1" s="2" t="inlineStr">
        <is>
          <t>EV 일치</t>
        </is>
      </c>
      <c r="BO1" s="2" t="inlineStr">
        <is>
          <t>EBIT/EV[엑셀]</t>
        </is>
      </c>
      <c r="BP1" s="2" t="inlineStr">
        <is>
          <t>EBIT/EV[파이썬]</t>
        </is>
      </c>
      <c r="BQ1" s="2" t="inlineStr">
        <is>
          <t>EBIT/EV 일치</t>
        </is>
      </c>
      <c r="BR1" s="2" t="inlineStr">
        <is>
          <t>CFO/NI[엑셀]</t>
        </is>
      </c>
      <c r="BS1" s="2" t="inlineStr">
        <is>
          <t>CFO/NI[파이썬]</t>
        </is>
      </c>
      <c r="BT1" s="2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1394591165007700</v>
      </c>
      <c r="F2" s="3" t="n">
        <v>118370658000000</v>
      </c>
      <c r="G2" s="3" t="n">
        <v>44260956000000</v>
      </c>
      <c r="H2" s="3" t="n">
        <v>12962441000000</v>
      </c>
      <c r="I2" s="4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3" t="n">
        <v>118849733000000</v>
      </c>
      <c r="M2" s="3" t="n">
        <v>45206805000000</v>
      </c>
      <c r="N2" s="3" t="n">
        <v>13339313000000</v>
      </c>
      <c r="O2" s="4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3" t="n">
        <v>305372914000000</v>
      </c>
      <c r="S2" s="3" t="n">
        <v>333605938000000</v>
      </c>
      <c r="T2" s="3" t="n">
        <v>153706820000000</v>
      </c>
      <c r="U2" s="4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3" t="n">
        <v>201213884000000</v>
      </c>
      <c r="Y2" s="3" t="n">
        <v>131370425000000</v>
      </c>
      <c r="Z2" s="3" t="n">
        <v>53627323000000</v>
      </c>
      <c r="AA2" s="4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3" t="n">
        <v>146725209000000</v>
      </c>
      <c r="AE2" s="3" t="n">
        <v>43601051000000</v>
      </c>
      <c r="AF2" s="3" t="n">
        <v>11361329000000</v>
      </c>
      <c r="AG2" s="4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3" t="n">
        <v>145355192000000</v>
      </c>
      <c r="AK2" s="3" t="n">
        <v>85315148000000</v>
      </c>
      <c r="AL2" s="3" t="n">
        <v>33941002000000</v>
      </c>
      <c r="AM2" s="4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3" t="n">
        <v>565064740000000</v>
      </c>
      <c r="AQ2" s="3" t="n">
        <v>388694117000000</v>
      </c>
      <c r="AR2" s="3" t="n">
        <v>759480516000000</v>
      </c>
      <c r="AS2" s="3" t="n">
        <v>504875185000000</v>
      </c>
      <c r="AT2" s="3" t="n">
        <v>8698600000000</v>
      </c>
      <c r="AU2" s="3" t="n">
        <v>14029673000000</v>
      </c>
      <c r="AV2" s="3" t="n">
        <v>92916382000000</v>
      </c>
      <c r="AW2" s="3" t="n">
        <v>47120025000000</v>
      </c>
      <c r="AX2" s="3" t="n">
        <v>97036646000000</v>
      </c>
      <c r="AY2" s="3" t="n">
        <v>53580554000000</v>
      </c>
      <c r="AZ2" s="4">
        <f>IFERROR(I2/E2,"")</f>
        <v/>
      </c>
      <c r="BA2" t="n">
        <v>0.1073211825482729</v>
      </c>
      <c r="BB2">
        <f>IF(AND(AZ2="",BA2=""),"",IF(OR(AZ2="",BA2=""),"불일치",IF(ABS(AZ2-BA2)&lt;=MAX(1,ABS(BA2))*1E-9,"일치","불일치")))</f>
        <v/>
      </c>
      <c r="BC2" s="4">
        <f>IFERROR(IF(AP2&lt;=0,"",AP2/E2),"")</f>
        <v/>
      </c>
      <c r="BD2" t="n">
        <v>0.4051830774339375</v>
      </c>
      <c r="BE2">
        <f>IF(AND(BC2="",BD2=""),"",IF(OR(BC2="",BD2=""),"불일치",IF(ABS(BC2-BD2)&lt;=MAX(1,ABS(BD2))*1E-9,"일치","불일치")))</f>
        <v/>
      </c>
      <c r="BF2" s="4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4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4">
        <f>IFERROR(E2+AT2-AV2-AX2,"")</f>
        <v/>
      </c>
      <c r="BM2" t="n">
        <v>1213336737007700</v>
      </c>
      <c r="BN2">
        <f>IF(AND(BL2="",BM2=""),"",IF(OR(BL2="",BM2=""),"불일치",IF(ABS(BL2-BM2)&lt;=MAX(1,ABS(BM2))*1E-9,"일치","불일치")))</f>
        <v/>
      </c>
      <c r="BO2" s="4">
        <f>IFERROR(IF(OR(BL2&lt;=0,BL2&lt;0.1*E2),"",AG2/BL2),"")</f>
        <v/>
      </c>
      <c r="BP2" t="n">
        <v>0.1474981557398144</v>
      </c>
      <c r="BQ2">
        <f>IF(AND(BO2="",BP2=""),"",IF(OR(BO2="",BP2=""),"불일치",IF(ABS(BO2-BP2)&lt;=MAX(1,ABS(BP2))*1E-9,"일치","불일치")))</f>
        <v/>
      </c>
      <c r="BR2" s="4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932838750105000</v>
      </c>
      <c r="F3" s="3" t="n">
        <v>134150412000000</v>
      </c>
      <c r="G3" s="3" t="n">
        <v>42919287000000</v>
      </c>
      <c r="H3" s="3" t="n">
        <v>15104309000000</v>
      </c>
      <c r="I3" s="4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3" t="n">
        <v>134268502000000</v>
      </c>
      <c r="M3" s="3" t="n">
        <v>42947902000000</v>
      </c>
      <c r="N3" s="3" t="n">
        <v>15104411000000</v>
      </c>
      <c r="O3" s="4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3" t="n">
        <v>131895033000000</v>
      </c>
      <c r="S3" s="3" t="n">
        <v>97146675000000</v>
      </c>
      <c r="T3" s="3" t="n">
        <v>39871093000000</v>
      </c>
      <c r="U3" s="4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3" t="n">
        <v>107670770000000</v>
      </c>
      <c r="Y3" s="3" t="n">
        <v>58690790000000</v>
      </c>
      <c r="Z3" s="3" t="n">
        <v>22085315000000</v>
      </c>
      <c r="AA3" s="4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3" t="n">
        <v>98152891000000</v>
      </c>
      <c r="AE3" s="3" t="n">
        <v>47206319000000</v>
      </c>
      <c r="AF3" s="3" t="n">
        <v>16653355000000</v>
      </c>
      <c r="AG3" s="4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3" t="n">
        <v>91742501000000</v>
      </c>
      <c r="AK3" s="3" t="n">
        <v>53373126000000</v>
      </c>
      <c r="AL3" s="3" t="n">
        <v>18189841000000</v>
      </c>
      <c r="AM3" s="4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3" t="n">
        <v>262380610000000</v>
      </c>
      <c r="AQ3" s="3" t="n">
        <v>87127160000000</v>
      </c>
      <c r="AR3" s="3" t="n">
        <v>348862214000000</v>
      </c>
      <c r="AS3" s="3" t="n">
        <v>129087781000000</v>
      </c>
      <c r="AT3" s="3" t="n">
        <v>21113139000000</v>
      </c>
      <c r="AU3" s="3" t="n">
        <v>24369171000000</v>
      </c>
      <c r="AV3" s="3" t="n">
        <v>26835986000000</v>
      </c>
      <c r="AW3" s="3" t="n">
        <v>9075311000000</v>
      </c>
      <c r="AX3" s="3" t="n">
        <v>22397559000000</v>
      </c>
      <c r="AY3" s="3" t="n">
        <v>6219683000000</v>
      </c>
      <c r="AZ3" s="4">
        <f>IFERROR(I3/E3,"")</f>
        <v/>
      </c>
      <c r="BA3" t="n">
        <v>0.1736263528737086</v>
      </c>
      <c r="BB3">
        <f>IF(AND(AZ3="",BA3=""),"",IF(OR(AZ3="",BA3=""),"불일치",IF(ABS(AZ3-BA3)&lt;=MAX(1,ABS(BA3))*1E-9,"일치","불일치")))</f>
        <v/>
      </c>
      <c r="BC3" s="4">
        <f>IFERROR(IF(AP3&lt;=0,"",AP3/E3),"")</f>
        <v/>
      </c>
      <c r="BD3" t="n">
        <v>0.2812711306969897</v>
      </c>
      <c r="BE3">
        <f>IF(AND(BC3="",BD3=""),"",IF(OR(BC3="",BD3=""),"불일치",IF(ABS(BC3-BD3)&lt;=MAX(1,ABS(BD3))*1E-9,"일치","불일치")))</f>
        <v/>
      </c>
      <c r="BF3" s="4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4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4">
        <f>IFERROR(E3+AT3-AV3-AX3,"")</f>
        <v/>
      </c>
      <c r="BM3" t="n">
        <v>904718344105000</v>
      </c>
      <c r="BN3">
        <f>IF(AND(BL3="",BM3=""),"",IF(OR(BL3="",BM3=""),"불일치",IF(ABS(BL3-BM3)&lt;=MAX(1,ABS(BM3))*1E-9,"일치","불일치")))</f>
        <v/>
      </c>
      <c r="BO3" s="4">
        <f>IFERROR(IF(OR(BL3&lt;=0,BL3&lt;0.1*E3),"",AG3/BL3),"")</f>
        <v/>
      </c>
      <c r="BP3" t="n">
        <v>0.1422606890184407</v>
      </c>
      <c r="BQ3">
        <f>IF(AND(BO3="",BP3=""),"",IF(OR(BO3="",BP3=""),"불일치",IF(ABS(BO3-BP3)&lt;=MAX(1,ABS(BP3))*1E-9,"일치","불일치")))</f>
        <v/>
      </c>
      <c r="BR3" s="4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69561457610500</v>
      </c>
      <c r="F4" s="3" t="n">
        <v>4856197000000</v>
      </c>
      <c r="G4" s="3" t="n">
        <v>9445987000000</v>
      </c>
      <c r="H4" s="3" t="n">
        <v>6155597000000</v>
      </c>
      <c r="I4" s="4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3" t="n">
        <v>5472888000000</v>
      </c>
      <c r="M4" s="3" t="n">
        <v>10364775000000</v>
      </c>
      <c r="N4" s="3" t="n">
        <v>6632564000000</v>
      </c>
      <c r="O4" s="4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3" t="n">
        <v>95154214000000</v>
      </c>
      <c r="S4" s="3" t="n">
        <v>186254472000000</v>
      </c>
      <c r="T4" s="3" t="n">
        <v>92694438000000</v>
      </c>
      <c r="U4" s="4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3" t="n">
        <v>16752940000000</v>
      </c>
      <c r="Y4" s="3" t="n">
        <v>34216836000000</v>
      </c>
      <c r="Z4" s="3" t="n">
        <v>18089338000000</v>
      </c>
      <c r="AA4" s="4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3" t="n">
        <v>5365574000000</v>
      </c>
      <c r="AE4" s="3" t="n">
        <v>11467851000000</v>
      </c>
      <c r="AF4" s="3" t="n">
        <v>7235206000000</v>
      </c>
      <c r="AG4" s="4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3" t="n">
        <v>4849653000000</v>
      </c>
      <c r="AK4" s="3" t="n">
        <v>-5991270000000</v>
      </c>
      <c r="AL4" s="3" t="n">
        <v>959651000000</v>
      </c>
      <c r="AM4" s="4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3" t="n">
        <v>122327997000000</v>
      </c>
      <c r="AQ4" s="3" t="n">
        <v>110277190000000</v>
      </c>
      <c r="AR4" s="3" t="n">
        <v>394512167000000</v>
      </c>
      <c r="AS4" s="3" t="n">
        <v>339702469000000</v>
      </c>
      <c r="AT4" s="3" t="n">
        <v>190418762000000</v>
      </c>
      <c r="AU4" s="3" t="n">
        <v>155335783000000</v>
      </c>
      <c r="AV4" s="3" t="n">
        <v>20256150000000</v>
      </c>
      <c r="AW4" s="3" t="n">
        <v>17519724000000</v>
      </c>
      <c r="AX4" s="3" t="n">
        <v>5737868000000</v>
      </c>
      <c r="AY4" s="3" t="n">
        <v>7062973000000</v>
      </c>
      <c r="AZ4" s="4">
        <f>IFERROR(I4/E4,"")</f>
        <v/>
      </c>
      <c r="BA4" t="n">
        <v>0.1171135177416166</v>
      </c>
      <c r="BB4">
        <f>IF(AND(AZ4="",BA4=""),"",IF(OR(AZ4="",BA4=""),"불일치",IF(ABS(AZ4-BA4)&lt;=MAX(1,ABS(BA4))*1E-9,"일치","불일치")))</f>
        <v/>
      </c>
      <c r="BC4" s="4">
        <f>IFERROR(IF(AP4&lt;=0,"",AP4/E4),"")</f>
        <v/>
      </c>
      <c r="BD4" t="n">
        <v>1.758560001501968</v>
      </c>
      <c r="BE4">
        <f>IF(AND(BC4="",BD4=""),"",IF(OR(BC4="",BD4=""),"불일치",IF(ABS(BC4-BD4)&lt;=MAX(1,ABS(BD4))*1E-9,"일치","불일치")))</f>
        <v/>
      </c>
      <c r="BF4" s="4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4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4">
        <f>IFERROR(E4+AT4-AV4-AX4,"")</f>
        <v/>
      </c>
      <c r="BM4" t="n">
        <v>233986201610500</v>
      </c>
      <c r="BN4">
        <f>IF(AND(BL4="",BM4=""),"",IF(OR(BL4="",BM4=""),"불일치",IF(ABS(BL4-BM4)&lt;=MAX(1,ABS(BM4))*1E-9,"일치","불일치")))</f>
        <v/>
      </c>
      <c r="BO4" s="4">
        <f>IFERROR(IF(OR(BL4&lt;=0,BL4&lt;0.1*E4),"",AG4/BL4),"")</f>
        <v/>
      </c>
      <c r="BP4" t="n">
        <v>0.0410204487868796</v>
      </c>
      <c r="BQ4">
        <f>IF(AND(BO4="",BP4=""),"",IF(OR(BO4="",BP4=""),"불일치",IF(ABS(BO4-BP4)&lt;=MAX(1,ABS(BP4))*1E-9,"일치","불일치")))</f>
        <v/>
      </c>
      <c r="BR4" s="4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26406103651200</v>
      </c>
      <c r="F5" s="3" t="n">
        <v>983946430695</v>
      </c>
      <c r="G5" s="3" t="n">
        <v>1953214734956</v>
      </c>
      <c r="H5" s="3" t="n">
        <v>913622969800</v>
      </c>
      <c r="I5" s="4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3" t="n">
        <v>995294183086</v>
      </c>
      <c r="M5" s="3" t="n">
        <v>1818746310015</v>
      </c>
      <c r="N5" s="3" t="n">
        <v>921019633550</v>
      </c>
      <c r="O5" s="4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3" t="n">
        <v>6629816183195</v>
      </c>
      <c r="S5" s="3" t="n">
        <v>12035007218975</v>
      </c>
      <c r="T5" s="3" t="n">
        <v>5701868408120</v>
      </c>
      <c r="U5" s="4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3" t="n"/>
      <c r="Y5" s="3" t="n"/>
      <c r="Z5" s="3" t="n"/>
      <c r="AA5" s="4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3" t="n">
        <v>1062066552592</v>
      </c>
      <c r="AE5" s="3" t="n">
        <v>2208138388720</v>
      </c>
      <c r="AF5" s="3" t="n">
        <v>1026855081011</v>
      </c>
      <c r="AG5" s="4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3" t="n">
        <v>1186557718996</v>
      </c>
      <c r="AK5" s="3" t="n">
        <v>3095806604677</v>
      </c>
      <c r="AL5" s="3" t="n">
        <v>1124942340048</v>
      </c>
      <c r="AM5" s="4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3" t="n">
        <v>29539564060069</v>
      </c>
      <c r="AQ5" s="3" t="n">
        <v>26401621734922</v>
      </c>
      <c r="AR5" s="3" t="n">
        <v>44656683622468</v>
      </c>
      <c r="AS5" s="3" t="n">
        <v>39351060803109</v>
      </c>
      <c r="AT5" s="3" t="n">
        <v>4894705557970</v>
      </c>
      <c r="AU5" s="3" t="n">
        <v>2376064886149</v>
      </c>
      <c r="AV5" s="3" t="n">
        <v>6384369789988</v>
      </c>
      <c r="AW5" s="3" t="n">
        <v>4871303504081</v>
      </c>
      <c r="AX5" s="3" t="n">
        <v>2017072977324</v>
      </c>
      <c r="AY5" s="3" t="n">
        <v>2676558769142</v>
      </c>
      <c r="AZ5" s="4">
        <f>IFERROR(I5/E5,"")</f>
        <v/>
      </c>
      <c r="BA5" t="n">
        <v>0.07663145697601025</v>
      </c>
      <c r="BB5">
        <f>IF(AND(AZ5="",BA5=""),"",IF(OR(AZ5="",BA5=""),"불일치",IF(ABS(AZ5-BA5)&lt;=MAX(1,ABS(BA5))*1E-9,"일치","불일치")))</f>
        <v/>
      </c>
      <c r="BC5" s="4">
        <f>IFERROR(IF(AP5&lt;=0,"",AP5/E5),"")</f>
        <v/>
      </c>
      <c r="BD5" t="n">
        <v>1.118664247109649</v>
      </c>
      <c r="BE5">
        <f>IF(AND(BC5="",BD5=""),"",IF(OR(BC5="",BD5=""),"불일치",IF(ABS(BC5-BD5)&lt;=MAX(1,ABS(BD5))*1E-9,"일치","불일치")))</f>
        <v/>
      </c>
      <c r="BF5" s="4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4">
        <f>IFERROR(AA5/((AR5+AS5)/2),"")</f>
        <v/>
      </c>
      <c r="BK5">
        <f>IF(AND(BI5="",BJ5=""),"",IF(OR(BI5="",BJ5=""),"불일치",IF(ABS(BI5-BJ5)&lt;=MAX(1,ABS(BJ5))*1E-9,"일치","불일치")))</f>
        <v/>
      </c>
      <c r="BL5" s="4">
        <f>IFERROR(E5+AT5-AV5-AX5,"")</f>
        <v/>
      </c>
      <c r="BM5" t="n">
        <v>22899366441858</v>
      </c>
      <c r="BN5">
        <f>IF(AND(BL5="",BM5=""),"",IF(OR(BL5="",BM5=""),"불일치",IF(ABS(BL5-BM5)&lt;=MAX(1,ABS(BM5))*1E-9,"일치","불일치")))</f>
        <v/>
      </c>
      <c r="BO5" s="4">
        <f>IFERROR(IF(OR(BL5&lt;=0,BL5&lt;0.1*E5),"",AG5/BL5),"")</f>
        <v/>
      </c>
      <c r="BP5" t="n">
        <v>0.09796558634043065</v>
      </c>
      <c r="BQ5">
        <f>IF(AND(BO5="",BP5=""),"",IF(OR(BO5="",BP5=""),"불일치",IF(ABS(BO5-BP5)&lt;=MAX(1,ABS(BP5))*1E-9,"일치","불일치")))</f>
        <v/>
      </c>
      <c r="BR5" s="4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16962348197300</v>
      </c>
      <c r="F6" s="3" t="n">
        <v>-234766000000</v>
      </c>
      <c r="G6" s="3" t="n">
        <v>-1819449000000</v>
      </c>
      <c r="H6" s="3" t="n">
        <v>-541904000000</v>
      </c>
      <c r="I6" s="4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3" t="n">
        <v>-715104000000</v>
      </c>
      <c r="M6" s="3" t="n">
        <v>-977063000000</v>
      </c>
      <c r="N6" s="3" t="n">
        <v>148485000000</v>
      </c>
      <c r="O6" s="4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3" t="n">
        <v>26422690000000</v>
      </c>
      <c r="S6" s="3" t="n">
        <v>45932167000000</v>
      </c>
      <c r="T6" s="3" t="n">
        <v>23538863000000</v>
      </c>
      <c r="U6" s="4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3" t="n">
        <v>5310720000000</v>
      </c>
      <c r="Y6" s="3" t="n">
        <v>7809460000000</v>
      </c>
      <c r="Z6" s="3" t="n">
        <v>3920184000000</v>
      </c>
      <c r="AA6" s="4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3" t="n">
        <v>549897000000</v>
      </c>
      <c r="AE6" s="3" t="n">
        <v>1180900000000</v>
      </c>
      <c r="AF6" s="3" t="n">
        <v>914450000000</v>
      </c>
      <c r="AG6" s="4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3" t="n">
        <v>1167798000000</v>
      </c>
      <c r="AK6" s="3" t="n">
        <v>8233859000000</v>
      </c>
      <c r="AL6" s="3" t="n">
        <v>3229502000000</v>
      </c>
      <c r="AM6" s="4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3" t="n">
        <v>35430227000000</v>
      </c>
      <c r="AQ6" s="3" t="n">
        <v>31447235000000</v>
      </c>
      <c r="AR6" s="3" t="n">
        <v>112209782000000</v>
      </c>
      <c r="AS6" s="3" t="n">
        <v>93952004000000</v>
      </c>
      <c r="AT6" s="3" t="n">
        <v>40289225000000</v>
      </c>
      <c r="AU6" s="3" t="n">
        <v>31797555000000</v>
      </c>
      <c r="AV6" s="3" t="n">
        <v>11086639000000</v>
      </c>
      <c r="AW6" s="3" t="n">
        <v>8382552000000</v>
      </c>
      <c r="AX6" s="3" t="n">
        <v>0</v>
      </c>
      <c r="AY6" s="3" t="n">
        <v>0</v>
      </c>
      <c r="AZ6" s="4">
        <f>IFERROR(I6/E6,"")</f>
        <v/>
      </c>
      <c r="BA6" t="n">
        <v>-0.08915693643411493</v>
      </c>
      <c r="BB6">
        <f>IF(AND(AZ6="",BA6=""),"",IF(OR(AZ6="",BA6=""),"불일치",IF(ABS(AZ6-BA6)&lt;=MAX(1,ABS(BA6))*1E-9,"일치","불일치")))</f>
        <v/>
      </c>
      <c r="BC6" s="4">
        <f>IFERROR(IF(AP6&lt;=0,"",AP6/E6),"")</f>
        <v/>
      </c>
      <c r="BD6" t="n">
        <v>2.088757204361578</v>
      </c>
      <c r="BE6">
        <f>IF(AND(BC6="",BD6=""),"",IF(OR(BC6="",BD6=""),"불일치",IF(ABS(BC6-BD6)&lt;=MAX(1,ABS(BD6))*1E-9,"일치","불일치")))</f>
        <v/>
      </c>
      <c r="BF6" s="4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4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4">
        <f>IFERROR(E6+AT6-AV6-AX6,"")</f>
        <v/>
      </c>
      <c r="BM6" t="n">
        <v>46164934197300</v>
      </c>
      <c r="BN6">
        <f>IF(AND(BL6="",BM6=""),"",IF(OR(BL6="",BM6=""),"불일치",IF(ABS(BL6-BM6)&lt;=MAX(1,ABS(BM6))*1E-9,"일치","불일치")))</f>
        <v/>
      </c>
      <c r="BO6" s="4">
        <f>IFERROR(IF(OR(BL6&lt;=0,BL6&lt;0.1*E6),"",AG6/BL6),"")</f>
        <v/>
      </c>
      <c r="BP6" t="n">
        <v>0.01768327008787862</v>
      </c>
      <c r="BQ6">
        <f>IF(AND(BO6="",BP6=""),"",IF(OR(BO6="",BP6=""),"불일치",IF(ABS(BO6-BP6)&lt;=MAX(1,ABS(BP6))*1E-9,"일치","불일치")))</f>
        <v/>
      </c>
      <c r="BR6" s="4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13267865274500</v>
      </c>
      <c r="F7" s="3" t="n">
        <v>188028656200</v>
      </c>
      <c r="G7" s="3" t="n">
        <v>491491558183</v>
      </c>
      <c r="H7" s="3" t="n">
        <v>333098744047</v>
      </c>
      <c r="I7" s="4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3" t="n">
        <v>244816510539</v>
      </c>
      <c r="M7" s="3" t="n">
        <v>517959587282</v>
      </c>
      <c r="N7" s="3" t="n">
        <v>372149284703</v>
      </c>
      <c r="O7" s="4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3" t="n">
        <v>4040533247476</v>
      </c>
      <c r="S7" s="3" t="n">
        <v>8099147815086</v>
      </c>
      <c r="T7" s="3" t="n">
        <v>3892043657398</v>
      </c>
      <c r="U7" s="4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3" t="n"/>
      <c r="Y7" s="3" t="n"/>
      <c r="Z7" s="3" t="n"/>
      <c r="AA7" s="4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3" t="n">
        <v>488414000457</v>
      </c>
      <c r="AE7" s="3" t="n">
        <v>732036535379</v>
      </c>
      <c r="AF7" s="3" t="n">
        <v>291326822837</v>
      </c>
      <c r="AG7" s="4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3" t="n">
        <v>359956106356</v>
      </c>
      <c r="AK7" s="3" t="n">
        <v>1404762595727</v>
      </c>
      <c r="AL7" s="3" t="n">
        <v>623768925756</v>
      </c>
      <c r="AM7" s="4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3" t="n">
        <v>11782230191255</v>
      </c>
      <c r="AQ7" s="3" t="n">
        <v>10574934599909</v>
      </c>
      <c r="AR7" s="3" t="n">
        <v>27672994899114</v>
      </c>
      <c r="AS7" s="3" t="n">
        <v>26562575454793</v>
      </c>
      <c r="AT7" s="3" t="n">
        <v>3123738070768</v>
      </c>
      <c r="AU7" s="3" t="n">
        <v>4068940382151</v>
      </c>
      <c r="AV7" s="3" t="n">
        <v>8178055633745</v>
      </c>
      <c r="AW7" s="3" t="n">
        <v>5748547932731</v>
      </c>
      <c r="AX7" s="3" t="n">
        <v>1734900777606</v>
      </c>
      <c r="AY7" s="3" t="n">
        <v>1603292059222</v>
      </c>
      <c r="AZ7" s="4">
        <f>IFERROR(I7/E7,"")</f>
        <v/>
      </c>
      <c r="BA7" t="n">
        <v>0.02610981217919059</v>
      </c>
      <c r="BB7">
        <f>IF(AND(AZ7="",BA7=""),"",IF(OR(AZ7="",BA7=""),"불일치",IF(ABS(AZ7-BA7)&lt;=MAX(1,ABS(BA7))*1E-9,"일치","불일치")))</f>
        <v/>
      </c>
      <c r="BC7" s="4">
        <f>IFERROR(IF(AP7&lt;=0,"",AP7/E7),"")</f>
        <v/>
      </c>
      <c r="BD7" t="n">
        <v>0.8880275724460138</v>
      </c>
      <c r="BE7">
        <f>IF(AND(BC7="",BD7=""),"",IF(OR(BC7="",BD7=""),"불일치",IF(ABS(BC7-BD7)&lt;=MAX(1,ABS(BD7))*1E-9,"일치","불일치")))</f>
        <v/>
      </c>
      <c r="BF7" s="4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4">
        <f>IFERROR(AA7/((AR7+AS7)/2),"")</f>
        <v/>
      </c>
      <c r="BK7">
        <f>IF(AND(BI7="",BJ7=""),"",IF(OR(BI7="",BJ7=""),"불일치",IF(ABS(BI7-BJ7)&lt;=MAX(1,ABS(BJ7))*1E-9,"일치","불일치")))</f>
        <v/>
      </c>
      <c r="BL7" s="4">
        <f>IFERROR(E7+AT7-AV7-AX7,"")</f>
        <v/>
      </c>
      <c r="BM7" t="n">
        <v>6478646933917</v>
      </c>
      <c r="BN7">
        <f>IF(AND(BL7="",BM7=""),"",IF(OR(BL7="",BM7=""),"불일치",IF(ABS(BL7-BM7)&lt;=MAX(1,ABS(BM7))*1E-9,"일치","불일치")))</f>
        <v/>
      </c>
      <c r="BO7" s="4">
        <f>IFERROR(IF(OR(BL7&lt;=0,BL7&lt;0.1*E7),"",AG7/BL7),"")</f>
        <v/>
      </c>
      <c r="BP7" t="n">
        <v>0.1434132346578193</v>
      </c>
      <c r="BQ7">
        <f>IF(AND(BO7="",BP7=""),"",IF(OR(BO7="",BP7=""),"불일치",IF(ABS(BO7-BP7)&lt;=MAX(1,ABS(BP7))*1E-9,"일치","불일치")))</f>
        <v/>
      </c>
      <c r="BR7" s="4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15156208333500</v>
      </c>
      <c r="F8" s="3" t="n">
        <v>805510000000</v>
      </c>
      <c r="G8" s="3" t="n">
        <v>737248000000</v>
      </c>
      <c r="H8" s="3" t="n">
        <v>784834000000</v>
      </c>
      <c r="I8" s="4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3" t="n">
        <v>912803000000</v>
      </c>
      <c r="M8" s="3" t="n">
        <v>1000121000000</v>
      </c>
      <c r="N8" s="3" t="n">
        <v>852645000000</v>
      </c>
      <c r="O8" s="4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3" t="n">
        <v>3940245000000</v>
      </c>
      <c r="S8" s="3" t="n">
        <v>7252547000000</v>
      </c>
      <c r="T8" s="3" t="n">
        <v>3733846000000</v>
      </c>
      <c r="U8" s="4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3" t="n">
        <v>1157087000000</v>
      </c>
      <c r="Y8" s="3" t="n">
        <v>1353734000000</v>
      </c>
      <c r="Z8" s="3" t="n">
        <v>1112265000000</v>
      </c>
      <c r="AA8" s="4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3" t="n">
        <v>946808000000</v>
      </c>
      <c r="AE8" s="3" t="n">
        <v>912174000000</v>
      </c>
      <c r="AF8" s="3" t="n">
        <v>914931000000</v>
      </c>
      <c r="AG8" s="4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3" t="n">
        <v>531959000000</v>
      </c>
      <c r="AK8" s="3" t="n">
        <v>1015114000000</v>
      </c>
      <c r="AL8" s="3" t="n">
        <v>479305000000</v>
      </c>
      <c r="AM8" s="4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3" t="n">
        <v>31035798000000</v>
      </c>
      <c r="AQ8" s="3" t="n">
        <v>27092817000000</v>
      </c>
      <c r="AR8" s="3" t="n">
        <v>35931460000000</v>
      </c>
      <c r="AS8" s="3" t="n">
        <v>31461920000000</v>
      </c>
      <c r="AT8" s="3" t="n">
        <v>585765000000</v>
      </c>
      <c r="AU8" s="3" t="n">
        <v>663691000000</v>
      </c>
      <c r="AV8" s="3" t="n">
        <v>871844000000</v>
      </c>
      <c r="AW8" s="3" t="n">
        <v>1687295000000</v>
      </c>
      <c r="AX8" s="3" t="n">
        <v>2256947000000</v>
      </c>
      <c r="AY8" s="3" t="n">
        <v>947384000000</v>
      </c>
      <c r="AZ8" s="4">
        <f>IFERROR(I8/E8,"")</f>
        <v/>
      </c>
      <c r="BA8" t="n">
        <v>0.05000749417812824</v>
      </c>
      <c r="BB8">
        <f>IF(AND(AZ8="",BA8=""),"",IF(OR(AZ8="",BA8=""),"불일치",IF(ABS(AZ8-BA8)&lt;=MAX(1,ABS(BA8))*1E-9,"일치","불일치")))</f>
        <v/>
      </c>
      <c r="BC8" s="4">
        <f>IFERROR(IF(AP8&lt;=0,"",AP8/E8),"")</f>
        <v/>
      </c>
      <c r="BD8" t="n">
        <v>2.047728384110497</v>
      </c>
      <c r="BE8">
        <f>IF(AND(BC8="",BD8=""),"",IF(OR(BC8="",BD8=""),"불일치",IF(ABS(BC8-BD8)&lt;=MAX(1,ABS(BD8))*1E-9,"일치","불일치")))</f>
        <v/>
      </c>
      <c r="BF8" s="4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4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4">
        <f>IFERROR(E8+AT8-AV8-AX8,"")</f>
        <v/>
      </c>
      <c r="BM8" t="n">
        <v>12613182333500</v>
      </c>
      <c r="BN8">
        <f>IF(AND(BL8="",BM8=""),"",IF(OR(BL8="",BM8=""),"불일치",IF(ABS(BL8-BM8)&lt;=MAX(1,ABS(BM8))*1E-9,"일치","불일치")))</f>
        <v/>
      </c>
      <c r="BO8" s="4">
        <f>IFERROR(IF(OR(BL8&lt;=0,BL8&lt;0.1*E8),"",AG8/BL8),"")</f>
        <v/>
      </c>
      <c r="BP8" t="n">
        <v>0.07484637699184339</v>
      </c>
      <c r="BQ8">
        <f>IF(AND(BO8="",BP8=""),"",IF(OR(BO8="",BP8=""),"불일치",IF(ABS(BO8-BP8)&lt;=MAX(1,ABS(BP8))*1E-9,"일치","불일치")))</f>
        <v/>
      </c>
      <c r="BR8" s="4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33750008246500</v>
      </c>
      <c r="F9" s="3" t="n">
        <v>9344993000000</v>
      </c>
      <c r="G9" s="3" t="n">
        <v>1597498000000</v>
      </c>
      <c r="H9" s="3" t="n">
        <v>2896643000000</v>
      </c>
      <c r="I9" s="4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3" t="n">
        <v>29014813000000</v>
      </c>
      <c r="M9" s="3" t="n">
        <v>3555246000000</v>
      </c>
      <c r="N9" s="3" t="n">
        <v>4567523000000</v>
      </c>
      <c r="O9" s="4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3" t="n">
        <v>78954891000000</v>
      </c>
      <c r="S9" s="3" t="n">
        <v>122703338000000</v>
      </c>
      <c r="T9" s="3" t="n">
        <v>61371896000000</v>
      </c>
      <c r="U9" s="4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3" t="n">
        <v>12774073000000</v>
      </c>
      <c r="Y9" s="3" t="n">
        <v>9587910000000</v>
      </c>
      <c r="Z9" s="3" t="n">
        <v>4317741000000</v>
      </c>
      <c r="AA9" s="4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3" t="n">
        <v>8514366000000</v>
      </c>
      <c r="AE9" s="3" t="n">
        <v>1818476000000</v>
      </c>
      <c r="AF9" s="3" t="n">
        <v>599335000000</v>
      </c>
      <c r="AG9" s="4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3" t="n">
        <v>4607594000000</v>
      </c>
      <c r="AK9" s="3" t="n">
        <v>6098798000000</v>
      </c>
      <c r="AL9" s="3" t="n">
        <v>2759310000000</v>
      </c>
      <c r="AM9" s="4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3" t="n">
        <v>37194940000000</v>
      </c>
      <c r="AQ9" s="3" t="n">
        <v>26144793000000</v>
      </c>
      <c r="AR9" s="3" t="n">
        <v>244883396000000</v>
      </c>
      <c r="AS9" s="3" t="n">
        <v>206385526000000</v>
      </c>
      <c r="AT9" s="3" t="n">
        <v>72211754000000</v>
      </c>
      <c r="AU9" s="3" t="n">
        <v>82473213000000</v>
      </c>
      <c r="AV9" s="3" t="n">
        <v>23838582000000</v>
      </c>
      <c r="AW9" s="3" t="n">
        <v>21494710000000</v>
      </c>
      <c r="AX9" s="3" t="n">
        <v>3616739000000</v>
      </c>
      <c r="AY9" s="3" t="n">
        <v>3845079000000</v>
      </c>
      <c r="AZ9" s="4">
        <f>IFERROR(I9/E9,"")</f>
        <v/>
      </c>
      <c r="BA9" t="n">
        <v>0.2383954380465784</v>
      </c>
      <c r="BB9">
        <f>IF(AND(AZ9="",BA9=""),"",IF(OR(AZ9="",BA9=""),"불일치",IF(ABS(AZ9-BA9)&lt;=MAX(1,ABS(BA9))*1E-9,"일치","불일치")))</f>
        <v/>
      </c>
      <c r="BC9" s="4">
        <f>IFERROR(IF(AP9&lt;=0,"",AP9/E9),"")</f>
        <v/>
      </c>
      <c r="BD9" t="n">
        <v>1.102072027015201</v>
      </c>
      <c r="BE9">
        <f>IF(AND(BC9="",BD9=""),"",IF(OR(BC9="",BD9=""),"불일치",IF(ABS(BC9-BD9)&lt;=MAX(1,ABS(BD9))*1E-9,"일치","불일치")))</f>
        <v/>
      </c>
      <c r="BF9" s="4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4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4">
        <f>IFERROR(E9+AT9-AV9-AX9,"")</f>
        <v/>
      </c>
      <c r="BM9" t="n">
        <v>78506441246500</v>
      </c>
      <c r="BN9">
        <f>IF(AND(BL9="",BM9=""),"",IF(OR(BL9="",BM9=""),"불일치",IF(ABS(BL9-BM9)&lt;=MAX(1,ABS(BM9))*1E-9,"일치","불일치")))</f>
        <v/>
      </c>
      <c r="BO9" s="4">
        <f>IFERROR(IF(OR(BL9&lt;=0,BL9&lt;0.1*E9),"",AG9/BL9),"")</f>
        <v/>
      </c>
      <c r="BP9" t="n">
        <v>0.1239835463874621</v>
      </c>
      <c r="BQ9">
        <f>IF(AND(BO9="",BP9=""),"",IF(OR(BO9="",BP9=""),"불일치",IF(ABS(BO9-BP9)&lt;=MAX(1,ABS(BP9))*1E-9,"일치","불일치")))</f>
        <v/>
      </c>
      <c r="BR9" s="4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23542850889</v>
      </c>
      <c r="F10" s="3" t="n">
        <v>716755534</v>
      </c>
      <c r="G10" s="3" t="n">
        <v>-2741692510</v>
      </c>
      <c r="H10" s="3" t="n">
        <v>-113861141</v>
      </c>
      <c r="I10" s="4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3" t="n">
        <v>716755534</v>
      </c>
      <c r="M10" s="3" t="n">
        <v>-2741692510</v>
      </c>
      <c r="N10" s="3" t="n">
        <v>-113861141</v>
      </c>
      <c r="O10" s="4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3" t="n">
        <v>135695919811</v>
      </c>
      <c r="S10" s="3" t="n">
        <v>259464652455</v>
      </c>
      <c r="T10" s="3" t="n">
        <v>135325665657</v>
      </c>
      <c r="U10" s="4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3" t="n">
        <v>8104740848</v>
      </c>
      <c r="Y10" s="3" t="n">
        <v>11678757305</v>
      </c>
      <c r="Z10" s="3" t="n">
        <v>8763639563</v>
      </c>
      <c r="AA10" s="4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3" t="n">
        <v>3822138288</v>
      </c>
      <c r="AE10" s="3" t="n">
        <v>1333662111</v>
      </c>
      <c r="AF10" s="3" t="n">
        <v>4393909052</v>
      </c>
      <c r="AG10" s="4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3" t="n">
        <v>-17538895506</v>
      </c>
      <c r="AK10" s="3" t="n">
        <v>11627330062</v>
      </c>
      <c r="AL10" s="3" t="n">
        <v>-3441190272</v>
      </c>
      <c r="AM10" s="4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3" t="n">
        <v>48295311206</v>
      </c>
      <c r="AQ10" s="3" t="n">
        <v>48758181161</v>
      </c>
      <c r="AR10" s="3" t="n">
        <v>217097585584</v>
      </c>
      <c r="AS10" s="3" t="n">
        <v>217262765598</v>
      </c>
      <c r="AT10" s="3" t="n">
        <v>2530070664</v>
      </c>
      <c r="AU10" s="3" t="n">
        <v>96189239830</v>
      </c>
      <c r="AV10" s="3" t="n">
        <v>6217797610</v>
      </c>
      <c r="AW10" s="3" t="n">
        <v>16280580527</v>
      </c>
      <c r="AX10" s="3" t="n">
        <v>1568000000</v>
      </c>
      <c r="AY10" s="3" t="n">
        <v>1568000000</v>
      </c>
      <c r="AZ10" s="4">
        <f>IFERROR(I10/E10,"")</f>
        <v/>
      </c>
      <c r="BA10" t="n">
        <v>-0.08117435921462332</v>
      </c>
      <c r="BB10">
        <f>IF(AND(AZ10="",BA10=""),"",IF(OR(AZ10="",BA10=""),"불일치",IF(ABS(AZ10-BA10)&lt;=MAX(1,ABS(BA10))*1E-9,"일치","불일치")))</f>
        <v/>
      </c>
      <c r="BC10" s="4">
        <f>IFERROR(IF(AP10&lt;=0,"",AP10/E10),"")</f>
        <v/>
      </c>
      <c r="BD10" t="n">
        <v>2.051379054886049</v>
      </c>
      <c r="BE10">
        <f>IF(AND(BC10="",BD10=""),"",IF(OR(BC10="",BD10=""),"불일치",IF(ABS(BC10-BD10)&lt;=MAX(1,ABS(BD10))*1E-9,"일치","불일치")))</f>
        <v/>
      </c>
      <c r="BF10" s="4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4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4">
        <f>IFERROR(E10+AT10-AV10-AX10,"")</f>
        <v/>
      </c>
      <c r="BM10" t="n">
        <v>18287123943</v>
      </c>
      <c r="BN10">
        <f>IF(AND(BL10="",BM10=""),"",IF(OR(BL10="",BM10=""),"불일치",IF(ABS(BL10-BM10)&lt;=MAX(1,ABS(BM10))*1E-9,"일치","불일치")))</f>
        <v/>
      </c>
      <c r="BO10" s="4">
        <f>IFERROR(IF(OR(BL10&lt;=0,BL10&lt;0.1*E10),"",AG10/BL10),"")</f>
        <v/>
      </c>
      <c r="BP10" t="n">
        <v>0.04166272123351792</v>
      </c>
      <c r="BQ10">
        <f>IF(AND(BO10="",BP10=""),"",IF(OR(BO10="",BP10=""),"불일치",IF(ABS(BO10-BP10)&lt;=MAX(1,ABS(BP10))*1E-9,"일치","불일치")))</f>
        <v/>
      </c>
      <c r="BR10" s="4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125806444050</v>
      </c>
      <c r="F11" s="3" t="n">
        <v>9977068365</v>
      </c>
      <c r="G11" s="3" t="n">
        <v>15505496859</v>
      </c>
      <c r="H11" s="3" t="n">
        <v>8061177246</v>
      </c>
      <c r="I11" s="4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3" t="n">
        <v>9963934103</v>
      </c>
      <c r="M11" s="3" t="n">
        <v>15474045546</v>
      </c>
      <c r="N11" s="3" t="n">
        <v>8038326713</v>
      </c>
      <c r="O11" s="4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3" t="n">
        <v>35949028477</v>
      </c>
      <c r="S11" s="3" t="n">
        <v>72822323336</v>
      </c>
      <c r="T11" s="3" t="n">
        <v>30609513822</v>
      </c>
      <c r="U11" s="4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3" t="n">
        <v>15947101847</v>
      </c>
      <c r="Y11" s="3" t="n">
        <v>26730413948</v>
      </c>
      <c r="Z11" s="3" t="n">
        <v>13429452013</v>
      </c>
      <c r="AA11" s="4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3" t="n">
        <v>11602425223</v>
      </c>
      <c r="AE11" s="3" t="n">
        <v>18997461570</v>
      </c>
      <c r="AF11" s="3" t="n">
        <v>9759440404</v>
      </c>
      <c r="AG11" s="4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3" t="n">
        <v>16998889290</v>
      </c>
      <c r="AK11" s="3" t="n">
        <v>19722105537</v>
      </c>
      <c r="AL11" s="3" t="n">
        <v>12320753817</v>
      </c>
      <c r="AM11" s="4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3" t="n">
        <v>84433612608</v>
      </c>
      <c r="AQ11" s="3" t="n">
        <v>72734519469</v>
      </c>
      <c r="AR11" s="3" t="n">
        <v>109101372956</v>
      </c>
      <c r="AS11" s="3" t="n">
        <v>91519256601</v>
      </c>
      <c r="AT11" s="3" t="n">
        <v>7034449091</v>
      </c>
      <c r="AU11" s="3" t="n">
        <v>6775125394</v>
      </c>
      <c r="AV11" s="3" t="n">
        <v>28010892370</v>
      </c>
      <c r="AW11" s="3" t="n">
        <v>56461671990</v>
      </c>
      <c r="AX11" s="3" t="n">
        <v>43500000000</v>
      </c>
      <c r="AY11" s="3" t="n">
        <v>832176086</v>
      </c>
      <c r="AZ11" s="4">
        <f>IFERROR(I11/E11,"")</f>
        <v/>
      </c>
      <c r="BA11" t="n">
        <v>0.1384777076369484</v>
      </c>
      <c r="BB11">
        <f>IF(AND(AZ11="",BA11=""),"",IF(OR(AZ11="",BA11=""),"불일치",IF(ABS(AZ11-BA11)&lt;=MAX(1,ABS(BA11))*1E-9,"일치","불일치")))</f>
        <v/>
      </c>
      <c r="BC11" s="4">
        <f>IFERROR(IF(AP11&lt;=0,"",AP11/E11),"")</f>
        <v/>
      </c>
      <c r="BD11" t="n">
        <v>0.6711390123580876</v>
      </c>
      <c r="BE11">
        <f>IF(AND(BC11="",BD11=""),"",IF(OR(BC11="",BD11=""),"불일치",IF(ABS(BC11-BD11)&lt;=MAX(1,ABS(BD11))*1E-9,"일치","불일치")))</f>
        <v/>
      </c>
      <c r="BF11" s="4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4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4">
        <f>IFERROR(E11+AT11-AV11-AX11,"")</f>
        <v/>
      </c>
      <c r="BM11" t="n">
        <v>61330000771</v>
      </c>
      <c r="BN11">
        <f>IF(AND(BL11="",BM11=""),"",IF(OR(BL11="",BM11=""),"불일치",IF(ABS(BL11-BM11)&lt;=MAX(1,ABS(BM11))*1E-9,"일치","불일치")))</f>
        <v/>
      </c>
      <c r="BO11" s="4">
        <f>IFERROR(IF(OR(BL11&lt;=0,BL11&lt;0.1*E11),"",AG11/BL11),"")</f>
        <v/>
      </c>
      <c r="BP11" t="n">
        <v>0.3398083503506891</v>
      </c>
      <c r="BQ11">
        <f>IF(AND(BO11="",BP11=""),"",IF(OR(BO11="",BP11=""),"불일치",IF(ABS(BO11-BP11)&lt;=MAX(1,ABS(BP11))*1E-9,"일치","불일치")))</f>
        <v/>
      </c>
      <c r="BR11" s="4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51308550810</v>
      </c>
      <c r="F12" s="3" t="n">
        <v>4468961675</v>
      </c>
      <c r="G12" s="3" t="n">
        <v>22286848623</v>
      </c>
      <c r="H12" s="3" t="n">
        <v>3951759032</v>
      </c>
      <c r="I12" s="4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3" t="n">
        <v>4468961675</v>
      </c>
      <c r="M12" s="3" t="n">
        <v>22286848623</v>
      </c>
      <c r="N12" s="3" t="n">
        <v>3951759032</v>
      </c>
      <c r="O12" s="4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3" t="n">
        <v>65046695377</v>
      </c>
      <c r="S12" s="3" t="n">
        <v>120686230379</v>
      </c>
      <c r="T12" s="3" t="n">
        <v>61122380211</v>
      </c>
      <c r="U12" s="4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3" t="n">
        <v>43355170134</v>
      </c>
      <c r="Y12" s="3" t="n">
        <v>78151057747</v>
      </c>
      <c r="Z12" s="3" t="n">
        <v>39248733751</v>
      </c>
      <c r="AA12" s="4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3" t="n">
        <v>7584181462</v>
      </c>
      <c r="AE12" s="3" t="n">
        <v>2526241951</v>
      </c>
      <c r="AF12" s="3" t="n">
        <v>6320122647</v>
      </c>
      <c r="AG12" s="4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3" t="n">
        <v>12583980177</v>
      </c>
      <c r="AK12" s="3" t="n">
        <v>1464986839</v>
      </c>
      <c r="AL12" s="3" t="n">
        <v>3296450345</v>
      </c>
      <c r="AM12" s="4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3" t="n">
        <v>162158792919</v>
      </c>
      <c r="AQ12" s="3" t="n">
        <v>126310394230</v>
      </c>
      <c r="AR12" s="3" t="n">
        <v>274418265173</v>
      </c>
      <c r="AS12" s="3" t="n">
        <v>228769952049</v>
      </c>
      <c r="AT12" s="3" t="n">
        <v>377934408</v>
      </c>
      <c r="AU12" s="3" t="n">
        <v>77377785640</v>
      </c>
      <c r="AV12" s="3" t="n">
        <v>1118692236</v>
      </c>
      <c r="AW12" s="3" t="n">
        <v>371646728</v>
      </c>
      <c r="AX12" s="3" t="n">
        <v>0</v>
      </c>
      <c r="AY12" s="3" t="n">
        <v>0</v>
      </c>
      <c r="AZ12" s="4">
        <f>IFERROR(I12/E12,"")</f>
        <v/>
      </c>
      <c r="BA12" t="n">
        <v>0.4444493345845096</v>
      </c>
      <c r="BB12">
        <f>IF(AND(AZ12="",BA12=""),"",IF(OR(AZ12="",BA12=""),"불일치",IF(ABS(AZ12-BA12)&lt;=MAX(1,ABS(BA12))*1E-9,"일치","불일치")))</f>
        <v/>
      </c>
      <c r="BC12" s="4">
        <f>IFERROR(IF(AP12&lt;=0,"",AP12/E12),"")</f>
        <v/>
      </c>
      <c r="BD12" t="n">
        <v>3.160463321591133</v>
      </c>
      <c r="BE12">
        <f>IF(AND(BC12="",BD12=""),"",IF(OR(BC12="",BD12=""),"불일치",IF(ABS(BC12-BD12)&lt;=MAX(1,ABS(BD12))*1E-9,"일치","불일치")))</f>
        <v/>
      </c>
      <c r="BF12" s="4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4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4">
        <f>IFERROR(E12+AT12-AV12-AX12,"")</f>
        <v/>
      </c>
      <c r="BM12" t="n">
        <v>50567792982</v>
      </c>
      <c r="BN12">
        <f>IF(AND(BL12="",BM12=""),"",IF(OR(BL12="",BM12=""),"불일치",IF(ABS(BL12-BM12)&lt;=MAX(1,ABS(BM12))*1E-9,"일치","불일치")))</f>
        <v/>
      </c>
      <c r="BO12" s="4">
        <f>IFERROR(IF(OR(BL12&lt;=0,BL12&lt;0.1*E12),"",AG12/BL12),"")</f>
        <v/>
      </c>
      <c r="BP12" t="n">
        <v>0.07495483869246948</v>
      </c>
      <c r="BQ12">
        <f>IF(AND(BO12="",BP12=""),"",IF(OR(BO12="",BP12=""),"불일치",IF(ABS(BO12-BP12)&lt;=MAX(1,ABS(BP12))*1E-9,"일치","불일치")))</f>
        <v/>
      </c>
      <c r="BR12" s="4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2181111967750</v>
      </c>
      <c r="F13" s="3" t="n">
        <v>42120798515</v>
      </c>
      <c r="G13" s="3" t="n">
        <v>-647552868590</v>
      </c>
      <c r="H13" s="3" t="n">
        <v>-204893627830</v>
      </c>
      <c r="I13" s="4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3" t="n">
        <v>78832872862</v>
      </c>
      <c r="M13" s="3" t="n">
        <v>-595003287583</v>
      </c>
      <c r="N13" s="3" t="n">
        <v>-160406356485</v>
      </c>
      <c r="O13" s="4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3" t="n">
        <v>7715223712777</v>
      </c>
      <c r="S13" s="3" t="n">
        <v>15539626589471</v>
      </c>
      <c r="T13" s="3" t="n">
        <v>7628438979590</v>
      </c>
      <c r="U13" s="4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3" t="n">
        <v>2263189109088</v>
      </c>
      <c r="Y13" s="3" t="n">
        <v>4430741650311</v>
      </c>
      <c r="Z13" s="3" t="n">
        <v>2214111023770</v>
      </c>
      <c r="AA13" s="4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3" t="n">
        <v>175054517946</v>
      </c>
      <c r="AE13" s="3" t="n">
        <v>239439333968</v>
      </c>
      <c r="AF13" s="3" t="n">
        <v>160153874683</v>
      </c>
      <c r="AG13" s="4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3" t="n">
        <v>604198969594</v>
      </c>
      <c r="AK13" s="3" t="n">
        <v>1156131183818</v>
      </c>
      <c r="AL13" s="3" t="n">
        <v>448102936859</v>
      </c>
      <c r="AM13" s="4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3" t="n">
        <v>6395557318834</v>
      </c>
      <c r="AQ13" s="3" t="n">
        <v>5940329474021</v>
      </c>
      <c r="AR13" s="3" t="n">
        <v>23652508149907</v>
      </c>
      <c r="AS13" s="3" t="n">
        <v>22467936174334</v>
      </c>
      <c r="AT13" s="3" t="n">
        <v>8646179801846</v>
      </c>
      <c r="AU13" s="3" t="n">
        <v>8577926248556</v>
      </c>
      <c r="AV13" s="3" t="n">
        <v>1236179966409</v>
      </c>
      <c r="AW13" s="3" t="n">
        <v>1170280786761</v>
      </c>
      <c r="AX13" s="3" t="n">
        <v>0</v>
      </c>
      <c r="AY13" s="3" t="n">
        <v>0</v>
      </c>
      <c r="AZ13" s="4">
        <f>IFERROR(I13/E13,"")</f>
        <v/>
      </c>
      <c r="BA13" t="n">
        <v>-0.1836395600809935</v>
      </c>
      <c r="BB13">
        <f>IF(AND(AZ13="",BA13=""),"",IF(OR(AZ13="",BA13=""),"불일치",IF(ABS(AZ13-BA13)&lt;=MAX(1,ABS(BA13))*1E-9,"일치","불일치")))</f>
        <v/>
      </c>
      <c r="BC13" s="4">
        <f>IFERROR(IF(AP13&lt;=0,"",AP13/E13),"")</f>
        <v/>
      </c>
      <c r="BD13" t="n">
        <v>2.932246218167128</v>
      </c>
      <c r="BE13">
        <f>IF(AND(BC13="",BD13=""),"",IF(OR(BC13="",BD13=""),"불일치",IF(ABS(BC13-BD13)&lt;=MAX(1,ABS(BD13))*1E-9,"일치","불일치")))</f>
        <v/>
      </c>
      <c r="BF13" s="4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4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4">
        <f>IFERROR(E13+AT13-AV13-AX13,"")</f>
        <v/>
      </c>
      <c r="BM13" t="n">
        <v>9591111803187</v>
      </c>
      <c r="BN13">
        <f>IF(AND(BL13="",BM13=""),"",IF(OR(BL13="",BM13=""),"불일치",IF(ABS(BL13-BM13)&lt;=MAX(1,ABS(BM13))*1E-9,"일치","불일치")))</f>
        <v/>
      </c>
      <c r="BO13" s="4">
        <f>IFERROR(IF(OR(BL13&lt;=0,BL13&lt;0.1*E13),"",AG13/BL13),"")</f>
        <v/>
      </c>
      <c r="BP13" t="n">
        <v>0.02651829969769367</v>
      </c>
      <c r="BQ13">
        <f>IF(AND(BO13="",BP13=""),"",IF(OR(BO13="",BP13=""),"불일치",IF(ABS(BO13-BP13)&lt;=MAX(1,ABS(BP13))*1E-9,"일치","불일치")))</f>
        <v/>
      </c>
      <c r="BR13" s="4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3" t="n">
        <v>155199091</v>
      </c>
      <c r="G14" s="3" t="n">
        <v>218602597</v>
      </c>
      <c r="H14" s="3" t="n">
        <v>218602597</v>
      </c>
      <c r="I14" s="4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3" t="n">
        <v>155199091</v>
      </c>
      <c r="M14" s="3" t="n">
        <v>218602597</v>
      </c>
      <c r="N14" s="3" t="n">
        <v>218602597</v>
      </c>
      <c r="O14" s="4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3" t="n">
        <v>0</v>
      </c>
      <c r="S14" s="3" t="n">
        <v>0</v>
      </c>
      <c r="T14" s="3" t="n">
        <v>0</v>
      </c>
      <c r="U14" s="4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3" t="n"/>
      <c r="Y14" s="3" t="n"/>
      <c r="Z14" s="3" t="n"/>
      <c r="AA14" s="4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3" t="n">
        <v>-60455970</v>
      </c>
      <c r="AE14" s="3" t="n">
        <v>-64213879</v>
      </c>
      <c r="AF14" s="3" t="n">
        <v>-64213879</v>
      </c>
      <c r="AG14" s="4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3" t="n">
        <v>-8522427</v>
      </c>
      <c r="AK14" s="3" t="n">
        <v>-55097036</v>
      </c>
      <c r="AL14" s="3" t="n">
        <v>-55097036</v>
      </c>
      <c r="AM14" s="4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3" t="n">
        <v>10384229137</v>
      </c>
      <c r="AQ14" s="3" t="n">
        <v>10229030046</v>
      </c>
      <c r="AR14" s="3" t="n">
        <v>12441749034</v>
      </c>
      <c r="AS14" s="3" t="n">
        <v>12229529128</v>
      </c>
      <c r="AT14" s="3" t="n">
        <v>1997421625</v>
      </c>
      <c r="AU14" s="3" t="n">
        <v>1916561879</v>
      </c>
      <c r="AV14" s="3" t="n">
        <v>2263573479</v>
      </c>
      <c r="AW14" s="3" t="n">
        <v>2272095906</v>
      </c>
      <c r="AX14" s="3" t="n">
        <v>10063080436</v>
      </c>
      <c r="AY14" s="3" t="n">
        <v>9797748375</v>
      </c>
      <c r="AZ14" s="4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4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4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4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4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4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4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3" t="n">
        <v>15177780491</v>
      </c>
      <c r="G15" s="3" t="n">
        <v>10967344155</v>
      </c>
      <c r="H15" s="3" t="n">
        <v>6832237659</v>
      </c>
      <c r="I15" s="4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3" t="n">
        <v>16173260591</v>
      </c>
      <c r="M15" s="3" t="n">
        <v>11410828358</v>
      </c>
      <c r="N15" s="3" t="n">
        <v>7269747872</v>
      </c>
      <c r="O15" s="4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3" t="n">
        <v>728097883903</v>
      </c>
      <c r="S15" s="3" t="n">
        <v>1008676692070</v>
      </c>
      <c r="T15" s="3" t="n">
        <v>752696198238</v>
      </c>
      <c r="U15" s="4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3" t="n">
        <v>63970844147</v>
      </c>
      <c r="Y15" s="3" t="n">
        <v>70420743470</v>
      </c>
      <c r="Z15" s="3" t="n">
        <v>51186942108</v>
      </c>
      <c r="AA15" s="4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3" t="n">
        <v>27337929347</v>
      </c>
      <c r="AE15" s="3" t="n">
        <v>22956958016</v>
      </c>
      <c r="AF15" s="3" t="n">
        <v>16326523497</v>
      </c>
      <c r="AG15" s="4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3" t="n">
        <v>32424430614</v>
      </c>
      <c r="AK15" s="3" t="n">
        <v>37177934554</v>
      </c>
      <c r="AL15" s="3" t="n">
        <v>3298481730</v>
      </c>
      <c r="AM15" s="4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3" t="n">
        <v>336766245910</v>
      </c>
      <c r="AQ15" s="3" t="n">
        <v>326339033895</v>
      </c>
      <c r="AR15" s="3" t="n">
        <v>682313521185</v>
      </c>
      <c r="AS15" s="3" t="n">
        <v>667926700116</v>
      </c>
      <c r="AT15" s="3" t="n">
        <v>23868300000</v>
      </c>
      <c r="AU15" s="3" t="n">
        <v>216383298440</v>
      </c>
      <c r="AV15" s="3" t="n">
        <v>19779068174</v>
      </c>
      <c r="AW15" s="3" t="n">
        <v>9015350588</v>
      </c>
      <c r="AX15" s="3" t="n">
        <v>0</v>
      </c>
      <c r="AY15" s="3" t="n">
        <v>0</v>
      </c>
      <c r="AZ15" s="4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4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4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4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4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4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4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29085019200</v>
      </c>
      <c r="F16" s="3" t="n">
        <v>-1542948785</v>
      </c>
      <c r="G16" s="3" t="n">
        <v>-4645964740</v>
      </c>
      <c r="H16" s="3" t="n">
        <v>89252311</v>
      </c>
      <c r="I16" s="4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3" t="n">
        <v>-1542948785</v>
      </c>
      <c r="M16" s="3" t="n">
        <v>-4645964740</v>
      </c>
      <c r="N16" s="3" t="n">
        <v>89252311</v>
      </c>
      <c r="O16" s="4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3" t="n">
        <v>22926644237</v>
      </c>
      <c r="S16" s="3" t="n">
        <v>50919669504</v>
      </c>
      <c r="T16" s="3" t="n">
        <v>25811866461</v>
      </c>
      <c r="U16" s="4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3" t="n">
        <v>3611421447</v>
      </c>
      <c r="Y16" s="3" t="n">
        <v>7221644921</v>
      </c>
      <c r="Z16" s="3" t="n">
        <v>3131530313</v>
      </c>
      <c r="AA16" s="4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3" t="n">
        <v>-1473534255</v>
      </c>
      <c r="AE16" s="3" t="n">
        <v>-1720450576</v>
      </c>
      <c r="AF16" s="3" t="n">
        <v>-1144457906</v>
      </c>
      <c r="AG16" s="4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3" t="n">
        <v>-2569861872</v>
      </c>
      <c r="AK16" s="3" t="n">
        <v>-2128493654</v>
      </c>
      <c r="AL16" s="3" t="n">
        <v>-535274535</v>
      </c>
      <c r="AM16" s="4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3" t="n">
        <v>50862387832</v>
      </c>
      <c r="AQ16" s="3" t="n">
        <v>56797380269</v>
      </c>
      <c r="AR16" s="3" t="n">
        <v>53855747777</v>
      </c>
      <c r="AS16" s="3" t="n">
        <v>59222615141</v>
      </c>
      <c r="AT16" s="3" t="n">
        <v>453393640</v>
      </c>
      <c r="AU16" s="3" t="n">
        <v>597663053</v>
      </c>
      <c r="AV16" s="3" t="n">
        <v>1102080565</v>
      </c>
      <c r="AW16" s="3" t="n">
        <v>2733164415</v>
      </c>
      <c r="AX16" s="3" t="n">
        <v>0</v>
      </c>
      <c r="AY16" s="3" t="n">
        <v>0</v>
      </c>
      <c r="AZ16" s="4">
        <f>IFERROR(I16/E16,"")</f>
        <v/>
      </c>
      <c r="BA16" t="n">
        <v>-0.2158556538274522</v>
      </c>
      <c r="BB16">
        <f>IF(AND(AZ16="",BA16=""),"",IF(OR(AZ16="",BA16=""),"불일치",IF(ABS(AZ16-BA16)&lt;=MAX(1,ABS(BA16))*1E-9,"일치","불일치")))</f>
        <v/>
      </c>
      <c r="BC16" s="4">
        <f>IFERROR(IF(AP16&lt;=0,"",AP16/E16),"")</f>
        <v/>
      </c>
      <c r="BD16" t="n">
        <v>1.748748642118827</v>
      </c>
      <c r="BE16">
        <f>IF(AND(BC16="",BD16=""),"",IF(OR(BC16="",BD16=""),"불일치",IF(ABS(BC16-BD16)&lt;=MAX(1,ABS(BD16))*1E-9,"일치","불일치")))</f>
        <v/>
      </c>
      <c r="BF16" s="4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4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4">
        <f>IFERROR(E16+AT16-AV16-AX16,"")</f>
        <v/>
      </c>
      <c r="BM16" t="n">
        <v>28436332275</v>
      </c>
      <c r="BN16">
        <f>IF(AND(BL16="",BM16=""),"",IF(OR(BL16="",BM16=""),"불일치",IF(ABS(BL16-BM16)&lt;=MAX(1,ABS(BM16))*1E-9,"일치","불일치")))</f>
        <v/>
      </c>
      <c r="BO16" s="4">
        <f>IFERROR(IF(OR(BL16&lt;=0,BL16&lt;0.1*E16),"",AG16/BL16),"")</f>
        <v/>
      </c>
      <c r="BP16" t="n">
        <v>-0.0720742360575754</v>
      </c>
      <c r="BQ16">
        <f>IF(AND(BO16="",BP16=""),"",IF(OR(BO16="",BP16=""),"불일치",IF(ABS(BO16-BP16)&lt;=MAX(1,ABS(BP16))*1E-9,"일치","불일치")))</f>
        <v/>
      </c>
      <c r="BR16" s="4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3" t="n">
        <v>-6909467351</v>
      </c>
      <c r="G17" s="3" t="n">
        <v>-30204179171</v>
      </c>
      <c r="H17" s="3" t="n">
        <v>-19703292955</v>
      </c>
      <c r="I17" s="4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3" t="n">
        <v>-6909467351</v>
      </c>
      <c r="M17" s="3" t="n">
        <v>-30204179171</v>
      </c>
      <c r="N17" s="3" t="n">
        <v>-19703292955</v>
      </c>
      <c r="O17" s="4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3" t="n">
        <v>2073836942</v>
      </c>
      <c r="S17" s="3" t="n">
        <v>7211902064</v>
      </c>
      <c r="T17" s="3" t="n">
        <v>3487501944</v>
      </c>
      <c r="U17" s="4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3" t="n">
        <v>1106347278</v>
      </c>
      <c r="Y17" s="3" t="n">
        <v>3586087178</v>
      </c>
      <c r="Z17" s="3" t="n">
        <v>1652379912</v>
      </c>
      <c r="AA17" s="4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3" t="n">
        <v>-4807331916</v>
      </c>
      <c r="AE17" s="3" t="n">
        <v>-6078614066</v>
      </c>
      <c r="AF17" s="3" t="n">
        <v>-2749394883</v>
      </c>
      <c r="AG17" s="4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3" t="n">
        <v>-5949522778</v>
      </c>
      <c r="AK17" s="3" t="n">
        <v>-11261287301</v>
      </c>
      <c r="AL17" s="3" t="n">
        <v>-9377985259</v>
      </c>
      <c r="AM17" s="4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3" t="n">
        <v>59853498326</v>
      </c>
      <c r="AQ17" s="3" t="n">
        <v>77196847591</v>
      </c>
      <c r="AR17" s="3" t="n">
        <v>60849218596</v>
      </c>
      <c r="AS17" s="3" t="n">
        <v>81169554451</v>
      </c>
      <c r="AT17" s="3" t="n">
        <v>356132852</v>
      </c>
      <c r="AU17" s="3" t="n">
        <v>2815857511</v>
      </c>
      <c r="AV17" s="3" t="n">
        <v>18682611952</v>
      </c>
      <c r="AW17" s="3" t="n">
        <v>8873205356</v>
      </c>
      <c r="AX17" s="3" t="n">
        <v>0</v>
      </c>
      <c r="AY17" s="3" t="n">
        <v>0</v>
      </c>
      <c r="AZ17" s="4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4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4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4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4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4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4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19672900000</v>
      </c>
      <c r="F18" s="3" t="n">
        <v>2985511589</v>
      </c>
      <c r="G18" s="3" t="n">
        <v>-192738194</v>
      </c>
      <c r="H18" s="3" t="n">
        <v>944061172</v>
      </c>
      <c r="I18" s="4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3" t="n">
        <v>2985511589</v>
      </c>
      <c r="M18" s="3" t="n">
        <v>-192738194</v>
      </c>
      <c r="N18" s="3" t="n">
        <v>944061172</v>
      </c>
      <c r="O18" s="4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3" t="n">
        <v>6097108233</v>
      </c>
      <c r="S18" s="3" t="n">
        <v>19678962044</v>
      </c>
      <c r="T18" s="3" t="n">
        <v>11145177099</v>
      </c>
      <c r="U18" s="4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3" t="n">
        <v>1749219629</v>
      </c>
      <c r="Y18" s="3" t="n">
        <v>7490087612</v>
      </c>
      <c r="Z18" s="3" t="n">
        <v>4652881430</v>
      </c>
      <c r="AA18" s="4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3" t="n">
        <v>-1006768137</v>
      </c>
      <c r="AE18" s="3" t="n">
        <v>1403074063</v>
      </c>
      <c r="AF18" s="3" t="n">
        <v>1418462945</v>
      </c>
      <c r="AG18" s="4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3" t="n">
        <v>434757269</v>
      </c>
      <c r="AK18" s="3" t="n">
        <v>3950289717</v>
      </c>
      <c r="AL18" s="3" t="n">
        <v>3228062267</v>
      </c>
      <c r="AM18" s="4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3" t="n">
        <v>48936211986</v>
      </c>
      <c r="AQ18" s="3" t="n">
        <v>47661578613</v>
      </c>
      <c r="AR18" s="3" t="n">
        <v>64211897855</v>
      </c>
      <c r="AS18" s="3" t="n">
        <v>63832771470</v>
      </c>
      <c r="AT18" s="3" t="n">
        <v>217685043</v>
      </c>
      <c r="AU18" s="3" t="n">
        <v>261642359</v>
      </c>
      <c r="AV18" s="3" t="n">
        <v>7609889752</v>
      </c>
      <c r="AW18" s="3" t="n">
        <v>5995569193</v>
      </c>
      <c r="AX18" s="3" t="n">
        <v>0</v>
      </c>
      <c r="AY18" s="3" t="n">
        <v>0</v>
      </c>
      <c r="AZ18" s="4">
        <f>IFERROR(I18/E18,"")</f>
        <v/>
      </c>
      <c r="BA18" t="n">
        <v>0.09397253190937788</v>
      </c>
      <c r="BB18">
        <f>IF(AND(AZ18="",BA18=""),"",IF(OR(AZ18="",BA18=""),"불일치",IF(ABS(AZ18-BA18)&lt;=MAX(1,ABS(BA18))*1E-9,"일치","불일치")))</f>
        <v/>
      </c>
      <c r="BC18" s="4">
        <f>IFERROR(IF(AP18&lt;=0,"",AP18/E18),"")</f>
        <v/>
      </c>
      <c r="BD18" t="n">
        <v>2.48749355641517</v>
      </c>
      <c r="BE18">
        <f>IF(AND(BC18="",BD18=""),"",IF(OR(BC18="",BD18=""),"불일치",IF(ABS(BC18-BD18)&lt;=MAX(1,ABS(BD18))*1E-9,"일치","불일치")))</f>
        <v/>
      </c>
      <c r="BF18" s="4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4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4">
        <f>IFERROR(E18+AT18-AV18-AX18,"")</f>
        <v/>
      </c>
      <c r="BM18" t="n">
        <v>12280695291</v>
      </c>
      <c r="BN18">
        <f>IF(AND(BL18="",BM18=""),"",IF(OR(BL18="",BM18=""),"불일치",IF(ABS(BL18-BM18)&lt;=MAX(1,ABS(BM18))*1E-9,"일치","불일치")))</f>
        <v/>
      </c>
      <c r="BO18" s="4">
        <f>IFERROR(IF(OR(BL18&lt;=0,BL18&lt;0.1*E18),"",AG18/BL18),"")</f>
        <v/>
      </c>
      <c r="BP18" t="n">
        <v>-0.0832328296386521</v>
      </c>
      <c r="BQ18">
        <f>IF(AND(BO18="",BP18=""),"",IF(OR(BO18="",BP18=""),"불일치",IF(ABS(BO18-BP18)&lt;=MAX(1,ABS(BP18))*1E-9,"일치","불일치")))</f>
        <v/>
      </c>
      <c r="BR18" s="4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40178177708</v>
      </c>
      <c r="F19" s="3" t="n">
        <v>-17872159378</v>
      </c>
      <c r="G19" s="3" t="n">
        <v>-170330530390</v>
      </c>
      <c r="H19" s="3" t="n">
        <v>-109906842990</v>
      </c>
      <c r="I19" s="4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3" t="n">
        <v>-14238516596</v>
      </c>
      <c r="M19" s="3" t="n">
        <v>-168296872201</v>
      </c>
      <c r="N19" s="3" t="n">
        <v>-109943034717</v>
      </c>
      <c r="O19" s="4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3" t="n">
        <v>44698557114</v>
      </c>
      <c r="S19" s="3" t="n">
        <v>73226140158</v>
      </c>
      <c r="T19" s="3" t="n">
        <v>31744140230</v>
      </c>
      <c r="U19" s="4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3" t="n">
        <v>-14233943292</v>
      </c>
      <c r="Y19" s="3" t="n">
        <v>-27031797009</v>
      </c>
      <c r="Z19" s="3" t="n">
        <v>-17728748304</v>
      </c>
      <c r="AA19" s="4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3" t="n">
        <v>-31074598752</v>
      </c>
      <c r="AE19" s="3" t="n">
        <v>-60354664385</v>
      </c>
      <c r="AF19" s="3" t="n">
        <v>-33689259920</v>
      </c>
      <c r="AG19" s="4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3" t="n">
        <v>-15813360386</v>
      </c>
      <c r="AK19" s="3" t="n">
        <v>-38232646549</v>
      </c>
      <c r="AL19" s="3" t="n">
        <v>-21725749483</v>
      </c>
      <c r="AM19" s="4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3" t="n">
        <v>194239460560</v>
      </c>
      <c r="AQ19" s="3" t="n">
        <v>267735466551</v>
      </c>
      <c r="AR19" s="3" t="n">
        <v>548412752055</v>
      </c>
      <c r="AS19" s="3" t="n">
        <v>600065401483</v>
      </c>
      <c r="AT19" s="3" t="n">
        <v>189950911938</v>
      </c>
      <c r="AU19" s="3" t="n">
        <v>161457373663</v>
      </c>
      <c r="AV19" s="3" t="n">
        <v>22427828883</v>
      </c>
      <c r="AW19" s="3" t="n">
        <v>25732454114</v>
      </c>
      <c r="AX19" s="3" t="n">
        <v>0</v>
      </c>
      <c r="AY19" s="3" t="n">
        <v>0</v>
      </c>
      <c r="AZ19" s="4">
        <f>IFERROR(I19/E19,"")</f>
        <v/>
      </c>
      <c r="BA19" t="n">
        <v>-1.948715726905909</v>
      </c>
      <c r="BB19">
        <f>IF(AND(AZ19="",BA19=""),"",IF(OR(AZ19="",BA19=""),"불일치",IF(ABS(AZ19-BA19)&lt;=MAX(1,ABS(BA19))*1E-9,"일치","불일치")))</f>
        <v/>
      </c>
      <c r="BC19" s="4">
        <f>IFERROR(IF(AP19&lt;=0,"",AP19/E19),"")</f>
        <v/>
      </c>
      <c r="BD19" t="n">
        <v>4.834451725801501</v>
      </c>
      <c r="BE19">
        <f>IF(AND(BC19="",BD19=""),"",IF(OR(BC19="",BD19=""),"불일치",IF(ABS(BC19-BD19)&lt;=MAX(1,ABS(BD19))*1E-9,"일치","불일치")))</f>
        <v/>
      </c>
      <c r="BF19" s="4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4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4">
        <f>IFERROR(E19+AT19-AV19-AX19,"")</f>
        <v/>
      </c>
      <c r="BM19" t="n">
        <v>207701260763</v>
      </c>
      <c r="BN19">
        <f>IF(AND(BL19="",BM19=""),"",IF(OR(BL19="",BM19=""),"불일치",IF(ABS(BL19-BM19)&lt;=MAX(1,ABS(BM19))*1E-9,"일치","불일치")))</f>
        <v/>
      </c>
      <c r="BO19" s="4">
        <f>IFERROR(IF(OR(BL19&lt;=0,BL19&lt;0.1*E19),"",AG19/BL19),"")</f>
        <v/>
      </c>
      <c r="BP19" t="n">
        <v>-0.2779954392423497</v>
      </c>
      <c r="BQ19">
        <f>IF(AND(BO19="",BP19=""),"",IF(OR(BO19="",BP19=""),"불일치",IF(ABS(BO19-BP19)&lt;=MAX(1,ABS(BP19))*1E-9,"일치","불일치")))</f>
        <v/>
      </c>
      <c r="BR19" s="4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54903147400</v>
      </c>
      <c r="F20" s="3" t="n">
        <v>14255757950</v>
      </c>
      <c r="G20" s="3" t="n">
        <v>-64493456226</v>
      </c>
      <c r="H20" s="3" t="n">
        <v>-4053504027</v>
      </c>
      <c r="I20" s="4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3" t="n">
        <v>10244585175</v>
      </c>
      <c r="M20" s="3" t="n">
        <v>-74826698792</v>
      </c>
      <c r="N20" s="3" t="n">
        <v>-7872574128</v>
      </c>
      <c r="O20" s="4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3" t="n">
        <v>596525917190</v>
      </c>
      <c r="S20" s="3" t="n">
        <v>1342032374780</v>
      </c>
      <c r="T20" s="3" t="n">
        <v>665992946135</v>
      </c>
      <c r="U20" s="4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3" t="n">
        <v>59064567570</v>
      </c>
      <c r="Y20" s="3" t="n">
        <v>107852858090</v>
      </c>
      <c r="Z20" s="3" t="n">
        <v>53815087074</v>
      </c>
      <c r="AA20" s="4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3" t="n">
        <v>32190615843</v>
      </c>
      <c r="AE20" s="3" t="n">
        <v>52749511611</v>
      </c>
      <c r="AF20" s="3" t="n">
        <v>26515441473</v>
      </c>
      <c r="AG20" s="4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3" t="n">
        <v>-52158065895</v>
      </c>
      <c r="AK20" s="3" t="n">
        <v>-89784974912</v>
      </c>
      <c r="AL20" s="3" t="n">
        <v>-100769029395</v>
      </c>
      <c r="AM20" s="4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3" t="n">
        <v>362366317283</v>
      </c>
      <c r="AQ20" s="3" t="n">
        <v>426004692851</v>
      </c>
      <c r="AR20" s="3" t="n">
        <v>1407804535265</v>
      </c>
      <c r="AS20" s="3" t="n">
        <v>1315063409627</v>
      </c>
      <c r="AT20" s="3" t="n">
        <v>648627714602</v>
      </c>
      <c r="AU20" s="3" t="n">
        <v>548275378392</v>
      </c>
      <c r="AV20" s="3" t="n">
        <v>32144719843</v>
      </c>
      <c r="AW20" s="3" t="n">
        <v>78113820317</v>
      </c>
      <c r="AX20" s="3" t="n">
        <v>9504115000</v>
      </c>
      <c r="AY20" s="3" t="n">
        <v>3032074000</v>
      </c>
      <c r="AZ20" s="4">
        <f>IFERROR(I20/E20,"")</f>
        <v/>
      </c>
      <c r="BA20" t="n">
        <v>-0.8411939285105539</v>
      </c>
      <c r="BB20">
        <f>IF(AND(AZ20="",BA20=""),"",IF(OR(AZ20="",BA20=""),"불일치",IF(ABS(AZ20-BA20)&lt;=MAX(1,ABS(BA20))*1E-9,"일치","불일치")))</f>
        <v/>
      </c>
      <c r="BC20" s="4">
        <f>IFERROR(IF(AP20&lt;=0,"",AP20/E20),"")</f>
        <v/>
      </c>
      <c r="BD20" t="n">
        <v>6.600100985886285</v>
      </c>
      <c r="BE20">
        <f>IF(AND(BC20="",BD20=""),"",IF(OR(BC20="",BD20=""),"불일치",IF(ABS(BC20-BD20)&lt;=MAX(1,ABS(BD20))*1E-9,"일치","불일치")))</f>
        <v/>
      </c>
      <c r="BF20" s="4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4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4">
        <f>IFERROR(E20+AT20-AV20-AX20,"")</f>
        <v/>
      </c>
      <c r="BM20" t="n">
        <v>661882027159</v>
      </c>
      <c r="BN20">
        <f>IF(AND(BL20="",BM20=""),"",IF(OR(BL20="",BM20=""),"불일치",IF(ABS(BL20-BM20)&lt;=MAX(1,ABS(BM20))*1E-9,"일치","불일치")))</f>
        <v/>
      </c>
      <c r="BO20" s="4">
        <f>IFERROR(IF(OR(BL20&lt;=0,BL20&lt;0.1*E20),"",AG20/BL20),"")</f>
        <v/>
      </c>
      <c r="BP20" t="n">
        <v>0.08827054306305401</v>
      </c>
      <c r="BQ20">
        <f>IF(AND(BO20="",BP20=""),"",IF(OR(BO20="",BP20=""),"불일치",IF(ABS(BO20-BP20)&lt;=MAX(1,ABS(BP20))*1E-9,"일치","불일치")))</f>
        <v/>
      </c>
      <c r="BR20" s="4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21063788130</v>
      </c>
      <c r="F21" s="3" t="n">
        <v>-3443498622</v>
      </c>
      <c r="G21" s="3" t="n">
        <v>-3016864876</v>
      </c>
      <c r="H21" s="3" t="n">
        <v>-3195502420</v>
      </c>
      <c r="I21" s="4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3" t="n">
        <v>-3443498622</v>
      </c>
      <c r="M21" s="3" t="n">
        <v>-3016864876</v>
      </c>
      <c r="N21" s="3" t="n">
        <v>-3195502420</v>
      </c>
      <c r="O21" s="4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3" t="n">
        <v>27705236543</v>
      </c>
      <c r="S21" s="3" t="n">
        <v>70744057088</v>
      </c>
      <c r="T21" s="3" t="n">
        <v>29042658789</v>
      </c>
      <c r="U21" s="4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3" t="n">
        <v>10796717907</v>
      </c>
      <c r="Y21" s="3" t="n">
        <v>28178148564</v>
      </c>
      <c r="Z21" s="3" t="n">
        <v>12340485206</v>
      </c>
      <c r="AA21" s="4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3" t="n">
        <v>-4250136924</v>
      </c>
      <c r="AE21" s="3" t="n">
        <v>-2896673174</v>
      </c>
      <c r="AF21" s="3" t="n">
        <v>-3275943585</v>
      </c>
      <c r="AG21" s="4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3" t="n">
        <v>-1775347795</v>
      </c>
      <c r="AK21" s="3" t="n">
        <v>-4331276242</v>
      </c>
      <c r="AL21" s="3" t="n">
        <v>-4021551047</v>
      </c>
      <c r="AM21" s="4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3" t="n">
        <v>31130743634</v>
      </c>
      <c r="AQ21" s="3" t="n">
        <v>34063990681</v>
      </c>
      <c r="AR21" s="3" t="n">
        <v>73306183597</v>
      </c>
      <c r="AS21" s="3" t="n">
        <v>77086244181</v>
      </c>
      <c r="AT21" s="3" t="n">
        <v>20847824679</v>
      </c>
      <c r="AU21" s="3" t="n">
        <v>21492336508</v>
      </c>
      <c r="AV21" s="3" t="n">
        <v>13718005981</v>
      </c>
      <c r="AW21" s="3" t="n">
        <v>16851760850</v>
      </c>
      <c r="AX21" s="3" t="n">
        <v>0</v>
      </c>
      <c r="AY21" s="3" t="n">
        <v>0</v>
      </c>
      <c r="AZ21" s="4">
        <f>IFERROR(I21/E21,"")</f>
        <v/>
      </c>
      <c r="BA21" t="n">
        <v>-0.1549987617540663</v>
      </c>
      <c r="BB21">
        <f>IF(AND(AZ21="",BA21=""),"",IF(OR(AZ21="",BA21=""),"불일치",IF(ABS(AZ21-BA21)&lt;=MAX(1,ABS(BA21))*1E-9,"일치","불일치")))</f>
        <v/>
      </c>
      <c r="BC21" s="4">
        <f>IFERROR(IF(AP21&lt;=0,"",AP21/E21),"")</f>
        <v/>
      </c>
      <c r="BD21" t="n">
        <v>1.477927115572445</v>
      </c>
      <c r="BE21">
        <f>IF(AND(BC21="",BD21=""),"",IF(OR(BC21="",BD21=""),"불일치",IF(ABS(BC21-BD21)&lt;=MAX(1,ABS(BD21))*1E-9,"일치","불일치")))</f>
        <v/>
      </c>
      <c r="BF21" s="4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4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4">
        <f>IFERROR(E21+AT21-AV21-AX21,"")</f>
        <v/>
      </c>
      <c r="BM21" t="n">
        <v>28193606828</v>
      </c>
      <c r="BN21">
        <f>IF(AND(BL21="",BM21=""),"",IF(OR(BL21="",BM21=""),"불일치",IF(ABS(BL21-BM21)&lt;=MAX(1,ABS(BM21))*1E-9,"일치","불일치")))</f>
        <v/>
      </c>
      <c r="BO21" s="4">
        <f>IFERROR(IF(OR(BL21&lt;=0,BL21&lt;0.1*E21),"",AG21/BL21),"")</f>
        <v/>
      </c>
      <c r="BP21" t="n">
        <v>-0.1372958960737054</v>
      </c>
      <c r="BQ21">
        <f>IF(AND(BO21="",BP21=""),"",IF(OR(BO21="",BP21=""),"불일치",IF(ABS(BO21-BP21)&lt;=MAX(1,ABS(BP21))*1E-9,"일치","불일치")))</f>
        <v/>
      </c>
      <c r="BR21" s="4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80288279220</v>
      </c>
      <c r="F22" s="3" t="n">
        <v>-1424637813</v>
      </c>
      <c r="G22" s="3" t="n">
        <v>497100618</v>
      </c>
      <c r="H22" s="3" t="n">
        <v>1094158145</v>
      </c>
      <c r="I22" s="4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3" t="n">
        <v>-1424637813</v>
      </c>
      <c r="M22" s="3" t="n">
        <v>497100618</v>
      </c>
      <c r="N22" s="3" t="n">
        <v>1094158145</v>
      </c>
      <c r="O22" s="4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3" t="n">
        <v>55003233082</v>
      </c>
      <c r="S22" s="3" t="n">
        <v>122140313384</v>
      </c>
      <c r="T22" s="3" t="n">
        <v>60210779073</v>
      </c>
      <c r="U22" s="4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3" t="n">
        <v>12398363051</v>
      </c>
      <c r="Y22" s="3" t="n">
        <v>29663072385</v>
      </c>
      <c r="Z22" s="3" t="n">
        <v>13796457475</v>
      </c>
      <c r="AA22" s="4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3" t="n">
        <v>-887333396</v>
      </c>
      <c r="AE22" s="3" t="n">
        <v>5321549322</v>
      </c>
      <c r="AF22" s="3" t="n">
        <v>2821486335</v>
      </c>
      <c r="AG22" s="4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3" t="n">
        <v>6851205039</v>
      </c>
      <c r="AK22" s="3" t="n">
        <v>11384009671</v>
      </c>
      <c r="AL22" s="3" t="n">
        <v>5396929741</v>
      </c>
      <c r="AM22" s="4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3" t="n">
        <v>46292674945</v>
      </c>
      <c r="AQ22" s="3" t="n">
        <v>42502521196</v>
      </c>
      <c r="AR22" s="3" t="n">
        <v>138854748079</v>
      </c>
      <c r="AS22" s="3" t="n">
        <v>146033056367</v>
      </c>
      <c r="AT22" s="3" t="n">
        <v>55799728344</v>
      </c>
      <c r="AU22" s="3" t="n">
        <v>68160200213</v>
      </c>
      <c r="AV22" s="3" t="n">
        <v>23180951456</v>
      </c>
      <c r="AW22" s="3" t="n">
        <v>19847839079</v>
      </c>
      <c r="AX22" s="3" t="n">
        <v>0</v>
      </c>
      <c r="AY22" s="3" t="n">
        <v>0</v>
      </c>
      <c r="AZ22" s="4">
        <f>IFERROR(I22/E22,"")</f>
        <v/>
      </c>
      <c r="BA22" t="n">
        <v>-0.02518045422869632</v>
      </c>
      <c r="BB22">
        <f>IF(AND(AZ22="",BA22=""),"",IF(OR(AZ22="",BA22=""),"불일치",IF(ABS(AZ22-BA22)&lt;=MAX(1,ABS(BA22))*1E-9,"일치","불일치")))</f>
        <v/>
      </c>
      <c r="BC22" s="4">
        <f>IFERROR(IF(AP22&lt;=0,"",AP22/E22),"")</f>
        <v/>
      </c>
      <c r="BD22" t="n">
        <v>0.5765807337600578</v>
      </c>
      <c r="BE22">
        <f>IF(AND(BC22="",BD22=""),"",IF(OR(BC22="",BD22=""),"불일치",IF(ABS(BC22-BD22)&lt;=MAX(1,ABS(BD22))*1E-9,"일치","불일치")))</f>
        <v/>
      </c>
      <c r="BF22" s="4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4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4">
        <f>IFERROR(E22+AT22-AV22-AX22,"")</f>
        <v/>
      </c>
      <c r="BM22" t="n">
        <v>112907056108</v>
      </c>
      <c r="BN22">
        <f>IF(AND(BL22="",BM22=""),"",IF(OR(BL22="",BM22=""),"불일치",IF(ABS(BL22-BM22)&lt;=MAX(1,ABS(BM22))*1E-9,"일치","불일치")))</f>
        <v/>
      </c>
      <c r="BO22" s="4">
        <f>IFERROR(IF(OR(BL22&lt;=0,BL22&lt;0.1*E22),"",AG22/BL22),"")</f>
        <v/>
      </c>
      <c r="BP22" t="n">
        <v>0.01428369179564262</v>
      </c>
      <c r="BQ22">
        <f>IF(AND(BO22="",BP22=""),"",IF(OR(BO22="",BP22=""),"불일치",IF(ABS(BO22-BP22)&lt;=MAX(1,ABS(BP22))*1E-9,"일치","불일치")))</f>
        <v/>
      </c>
      <c r="BR22" s="4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36092571570</v>
      </c>
      <c r="F23" s="3" t="n">
        <v>-2497579973</v>
      </c>
      <c r="G23" s="3" t="n">
        <v>-872120915</v>
      </c>
      <c r="H23" s="3" t="n">
        <v>-2422887188</v>
      </c>
      <c r="I23" s="4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3" t="n">
        <v>-2497583331</v>
      </c>
      <c r="M23" s="3" t="n">
        <v>-872142430</v>
      </c>
      <c r="N23" s="3" t="n">
        <v>-2422895804</v>
      </c>
      <c r="O23" s="4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3" t="n">
        <v>744534997</v>
      </c>
      <c r="S23" s="3" t="n">
        <v>37266321862</v>
      </c>
      <c r="T23" s="3" t="n">
        <v>1276511480</v>
      </c>
      <c r="U23" s="4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3" t="n">
        <v>-1652959861</v>
      </c>
      <c r="Y23" s="3" t="n">
        <v>2421253850</v>
      </c>
      <c r="Z23" s="3" t="n">
        <v>-1068201584</v>
      </c>
      <c r="AA23" s="4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3" t="n">
        <v>-2731978875</v>
      </c>
      <c r="AE23" s="3" t="n">
        <v>-1547996543</v>
      </c>
      <c r="AF23" s="3" t="n">
        <v>-2678255694</v>
      </c>
      <c r="AG23" s="4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3" t="n">
        <v>459594058</v>
      </c>
      <c r="AK23" s="3" t="n">
        <v>-1185746283</v>
      </c>
      <c r="AL23" s="3" t="n">
        <v>-2927028955</v>
      </c>
      <c r="AM23" s="4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3" t="n">
        <v>55388608224</v>
      </c>
      <c r="AQ23" s="3" t="n">
        <v>56951007815</v>
      </c>
      <c r="AR23" s="3" t="n">
        <v>73741167265</v>
      </c>
      <c r="AS23" s="3" t="n">
        <v>82049594443</v>
      </c>
      <c r="AT23" s="3" t="n">
        <v>670998290</v>
      </c>
      <c r="AU23" s="3" t="n">
        <v>928161694</v>
      </c>
      <c r="AV23" s="3" t="n">
        <v>2260458709</v>
      </c>
      <c r="AW23" s="3" t="n">
        <v>1260966546</v>
      </c>
      <c r="AX23" s="3" t="n">
        <v>0</v>
      </c>
      <c r="AY23" s="3" t="n">
        <v>0</v>
      </c>
      <c r="AZ23" s="4">
        <f>IFERROR(I23/E23,"")</f>
        <v/>
      </c>
      <c r="BA23" t="n">
        <v>-0.02623292436128291</v>
      </c>
      <c r="BB23">
        <f>IF(AND(AZ23="",BA23=""),"",IF(OR(AZ23="",BA23=""),"불일치",IF(ABS(AZ23-BA23)&lt;=MAX(1,ABS(BA23))*1E-9,"일치","불일치")))</f>
        <v/>
      </c>
      <c r="BC23" s="4">
        <f>IFERROR(IF(AP23&lt;=0,"",AP23/E23),"")</f>
        <v/>
      </c>
      <c r="BD23" t="n">
        <v>1.5346262628191</v>
      </c>
      <c r="BE23">
        <f>IF(AND(BC23="",BD23=""),"",IF(OR(BC23="",BD23=""),"불일치",IF(ABS(BC23-BD23)&lt;=MAX(1,ABS(BD23))*1E-9,"일치","불일치")))</f>
        <v/>
      </c>
      <c r="BF23" s="4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4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4">
        <f>IFERROR(E23+AT23-AV23-AX23,"")</f>
        <v/>
      </c>
      <c r="BM23" t="n">
        <v>34503111151</v>
      </c>
      <c r="BN23">
        <f>IF(AND(BL23="",BM23=""),"",IF(OR(BL23="",BM23=""),"불일치",IF(ABS(BL23-BM23)&lt;=MAX(1,ABS(BM23))*1E-9,"일치","불일치")))</f>
        <v/>
      </c>
      <c r="BO23" s="4">
        <f>IFERROR(IF(OR(BL23&lt;=0,BL23&lt;0.1*E23),"",AG23/BL23),"")</f>
        <v/>
      </c>
      <c r="BP23" t="n">
        <v>-0.04642247236749772</v>
      </c>
      <c r="BQ23">
        <f>IF(AND(BO23="",BP23=""),"",IF(OR(BO23="",BP23=""),"불일치",IF(ABS(BO23-BP23)&lt;=MAX(1,ABS(BP23))*1E-9,"일치","불일치")))</f>
        <v/>
      </c>
      <c r="BR23" s="4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488715915600</v>
      </c>
      <c r="F24" s="3" t="n">
        <v>9593627586</v>
      </c>
      <c r="G24" s="3" t="n">
        <v>13220969592</v>
      </c>
      <c r="H24" s="3" t="n">
        <v>7079475999</v>
      </c>
      <c r="I24" s="4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3" t="n">
        <v>9593627586</v>
      </c>
      <c r="M24" s="3" t="n">
        <v>13220969592</v>
      </c>
      <c r="N24" s="3" t="n">
        <v>7079475999</v>
      </c>
      <c r="O24" s="4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3" t="n">
        <v>86194788513</v>
      </c>
      <c r="S24" s="3" t="n">
        <v>141057118027</v>
      </c>
      <c r="T24" s="3" t="n">
        <v>73435174603</v>
      </c>
      <c r="U24" s="4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3" t="n">
        <v>25894379242</v>
      </c>
      <c r="Y24" s="3" t="n">
        <v>41700633014</v>
      </c>
      <c r="Z24" s="3" t="n">
        <v>22305324388</v>
      </c>
      <c r="AA24" s="4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3" t="n">
        <v>10791149966</v>
      </c>
      <c r="AE24" s="3" t="n">
        <v>11709586777</v>
      </c>
      <c r="AF24" s="3" t="n">
        <v>7068099180</v>
      </c>
      <c r="AG24" s="4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3" t="n">
        <v>7030564323</v>
      </c>
      <c r="AK24" s="3" t="n">
        <v>-4869001747</v>
      </c>
      <c r="AL24" s="3" t="n">
        <v>-8912371072</v>
      </c>
      <c r="AM24" s="4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3" t="n">
        <v>310226994846</v>
      </c>
      <c r="AQ24" s="3" t="n">
        <v>297413215463</v>
      </c>
      <c r="AR24" s="3" t="n">
        <v>455811819264</v>
      </c>
      <c r="AS24" s="3" t="n">
        <v>437929560652</v>
      </c>
      <c r="AT24" s="3" t="n">
        <v>109639647496</v>
      </c>
      <c r="AU24" s="3" t="n">
        <v>103446764589</v>
      </c>
      <c r="AV24" s="3" t="n">
        <v>17709066196</v>
      </c>
      <c r="AW24" s="3" t="n">
        <v>75637328602</v>
      </c>
      <c r="AX24" s="3" t="n">
        <v>28500000000</v>
      </c>
      <c r="AY24" s="3" t="n">
        <v>23500000000</v>
      </c>
      <c r="AZ24" s="4">
        <f>IFERROR(I24/E24,"")</f>
        <v/>
      </c>
      <c r="BA24" t="n">
        <v>0.03219686668006684</v>
      </c>
      <c r="BB24">
        <f>IF(AND(AZ24="",BA24=""),"",IF(OR(AZ24="",BA24=""),"불일치",IF(ABS(AZ24-BA24)&lt;=MAX(1,ABS(BA24))*1E-9,"일치","불일치")))</f>
        <v/>
      </c>
      <c r="BC24" s="4">
        <f>IFERROR(IF(AP24&lt;=0,"",AP24/E24),"")</f>
        <v/>
      </c>
      <c r="BD24" t="n">
        <v>0.6347798075393802</v>
      </c>
      <c r="BE24">
        <f>IF(AND(BC24="",BD24=""),"",IF(OR(BC24="",BD24=""),"불일치",IF(ABS(BC24-BD24)&lt;=MAX(1,ABS(BD24))*1E-9,"일치","불일치")))</f>
        <v/>
      </c>
      <c r="BF24" s="4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4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4">
        <f>IFERROR(E24+AT24-AV24-AX24,"")</f>
        <v/>
      </c>
      <c r="BM24" t="n">
        <v>552146496900</v>
      </c>
      <c r="BN24">
        <f>IF(AND(BL24="",BM24=""),"",IF(OR(BL24="",BM24=""),"불일치",IF(ABS(BL24-BM24)&lt;=MAX(1,ABS(BM24))*1E-9,"일치","불일치")))</f>
        <v/>
      </c>
      <c r="BO24" s="4">
        <f>IFERROR(IF(OR(BL24&lt;=0,BL24&lt;0.1*E24),"",AG24/BL24),"")</f>
        <v/>
      </c>
      <c r="BP24" t="n">
        <v>0.02795025894331632</v>
      </c>
      <c r="BQ24">
        <f>IF(AND(BO24="",BP24=""),"",IF(OR(BO24="",BP24=""),"불일치",IF(ABS(BO24-BP24)&lt;=MAX(1,ABS(BP24))*1E-9,"일치","불일치")))</f>
        <v/>
      </c>
      <c r="BR24" s="4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104647861920</v>
      </c>
      <c r="F25" s="3" t="n">
        <v>9185573010</v>
      </c>
      <c r="G25" s="3" t="n">
        <v>-7170811062</v>
      </c>
      <c r="H25" s="3" t="n">
        <v>20885251907</v>
      </c>
      <c r="I25" s="4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3" t="n">
        <v>17507190969</v>
      </c>
      <c r="M25" s="3" t="n">
        <v>4191427824</v>
      </c>
      <c r="N25" s="3" t="n">
        <v>26828622663</v>
      </c>
      <c r="O25" s="4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3" t="n">
        <v>279548186072</v>
      </c>
      <c r="S25" s="3" t="n">
        <v>541777680410</v>
      </c>
      <c r="T25" s="3" t="n">
        <v>249281576296</v>
      </c>
      <c r="U25" s="4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3" t="n">
        <v>89538622477</v>
      </c>
      <c r="Y25" s="3" t="n">
        <v>163365542599</v>
      </c>
      <c r="Z25" s="3" t="n">
        <v>72540951485</v>
      </c>
      <c r="AA25" s="4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3" t="n">
        <v>25277829522</v>
      </c>
      <c r="AE25" s="3" t="n">
        <v>38479275179</v>
      </c>
      <c r="AF25" s="3" t="n">
        <v>19890942025</v>
      </c>
      <c r="AG25" s="4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3" t="n">
        <v>21494198322</v>
      </c>
      <c r="AK25" s="3" t="n">
        <v>19425348249</v>
      </c>
      <c r="AL25" s="3" t="n">
        <v>-11914451026</v>
      </c>
      <c r="AM25" s="4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3" t="n">
        <v>279143131655</v>
      </c>
      <c r="AQ25" s="3" t="n">
        <v>286440474766</v>
      </c>
      <c r="AR25" s="3" t="n">
        <v>666042045600</v>
      </c>
      <c r="AS25" s="3" t="n">
        <v>649454285040</v>
      </c>
      <c r="AT25" s="3" t="n">
        <v>24331190828</v>
      </c>
      <c r="AU25" s="3" t="n">
        <v>164949624731</v>
      </c>
      <c r="AV25" s="3" t="n">
        <v>57248515571</v>
      </c>
      <c r="AW25" s="3" t="n">
        <v>40138854691</v>
      </c>
      <c r="AX25" s="3" t="n">
        <v>28008536607</v>
      </c>
      <c r="AY25" s="3" t="n">
        <v>13245748458</v>
      </c>
      <c r="AZ25" s="4">
        <f>IFERROR(I25/E25,"")</f>
        <v/>
      </c>
      <c r="BA25" t="n">
        <v>-0.1803237028715015</v>
      </c>
      <c r="BB25">
        <f>IF(AND(AZ25="",BA25=""),"",IF(OR(AZ25="",BA25=""),"불일치",IF(ABS(AZ25-BA25)&lt;=MAX(1,ABS(BA25))*1E-9,"일치","불일치")))</f>
        <v/>
      </c>
      <c r="BC25" s="4">
        <f>IFERROR(IF(AP25&lt;=0,"",AP25/E25),"")</f>
        <v/>
      </c>
      <c r="BD25" t="n">
        <v>2.667451838322279</v>
      </c>
      <c r="BE25">
        <f>IF(AND(BC25="",BD25=""),"",IF(OR(BC25="",BD25=""),"불일치",IF(ABS(BC25-BD25)&lt;=MAX(1,ABS(BD25))*1E-9,"일치","불일치")))</f>
        <v/>
      </c>
      <c r="BF25" s="4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4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4">
        <f>IFERROR(E25+AT25-AV25-AX25,"")</f>
        <v/>
      </c>
      <c r="BM25" t="n">
        <v>43722000570</v>
      </c>
      <c r="BN25">
        <f>IF(AND(BL25="",BM25=""),"",IF(OR(BL25="",BM25=""),"불일치",IF(ABS(BL25-BM25)&lt;=MAX(1,ABS(BM25))*1E-9,"일치","불일치")))</f>
        <v/>
      </c>
      <c r="BO25" s="4">
        <f>IFERROR(IF(OR(BL25&lt;=0,BL25&lt;0.1*E25),"",AG25/BL25),"")</f>
        <v/>
      </c>
      <c r="BP25" t="n">
        <v>1.003297244044659</v>
      </c>
      <c r="BQ25">
        <f>IF(AND(BO25="",BP25=""),"",IF(OR(BO25="",BP25=""),"불일치",IF(ABS(BO25-BP25)&lt;=MAX(1,ABS(BP25))*1E-9,"일치","불일치")))</f>
        <v/>
      </c>
      <c r="BR25" s="4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21246412150</v>
      </c>
      <c r="F26" s="3" t="n">
        <v>2165012133</v>
      </c>
      <c r="G26" s="3" t="n">
        <v>1007310092</v>
      </c>
      <c r="H26" s="3" t="n">
        <v>2597793602</v>
      </c>
      <c r="I26" s="4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3" t="n">
        <v>2165012133</v>
      </c>
      <c r="M26" s="3" t="n">
        <v>1007310092</v>
      </c>
      <c r="N26" s="3" t="n">
        <v>2597793602</v>
      </c>
      <c r="O26" s="4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3" t="n">
        <v>24585484643</v>
      </c>
      <c r="S26" s="3" t="n">
        <v>33952962076</v>
      </c>
      <c r="T26" s="3" t="n">
        <v>22355656037</v>
      </c>
      <c r="U26" s="4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3" t="n">
        <v>10977215662</v>
      </c>
      <c r="Y26" s="3" t="n">
        <v>11806665529</v>
      </c>
      <c r="Z26" s="3" t="n">
        <v>8685381071</v>
      </c>
      <c r="AA26" s="4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3" t="n">
        <v>3301178415</v>
      </c>
      <c r="AE26" s="3" t="n">
        <v>917421524</v>
      </c>
      <c r="AF26" s="3" t="n">
        <v>2988155561</v>
      </c>
      <c r="AG26" s="4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3" t="n">
        <v>-4911838525</v>
      </c>
      <c r="AK26" s="3" t="n">
        <v>9087571309</v>
      </c>
      <c r="AL26" s="3" t="n">
        <v>-854294738</v>
      </c>
      <c r="AM26" s="4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3" t="n">
        <v>44522721590</v>
      </c>
      <c r="AQ26" s="3" t="n">
        <v>43969517308</v>
      </c>
      <c r="AR26" s="3" t="n">
        <v>78879794864</v>
      </c>
      <c r="AS26" s="3" t="n">
        <v>69897618335</v>
      </c>
      <c r="AT26" s="3" t="n">
        <v>24471546790</v>
      </c>
      <c r="AU26" s="3" t="n">
        <v>16398587603</v>
      </c>
      <c r="AV26" s="3" t="n">
        <v>2512353378</v>
      </c>
      <c r="AW26" s="3" t="n">
        <v>764667310</v>
      </c>
      <c r="AX26" s="3" t="n">
        <v>0</v>
      </c>
      <c r="AY26" s="3" t="n">
        <v>0</v>
      </c>
      <c r="AZ26" s="4">
        <f>IFERROR(I26/E26,"")</f>
        <v/>
      </c>
      <c r="BA26" t="n">
        <v>0.0270412067196955</v>
      </c>
      <c r="BB26">
        <f>IF(AND(AZ26="",BA26=""),"",IF(OR(AZ26="",BA26=""),"불일치",IF(ABS(AZ26-BA26)&lt;=MAX(1,ABS(BA26))*1E-9,"일치","불일치")))</f>
        <v/>
      </c>
      <c r="BC26" s="4">
        <f>IFERROR(IF(AP26&lt;=0,"",AP26/E26),"")</f>
        <v/>
      </c>
      <c r="BD26" t="n">
        <v>2.095540709446324</v>
      </c>
      <c r="BE26">
        <f>IF(AND(BC26="",BD26=""),"",IF(OR(BC26="",BD26=""),"불일치",IF(ABS(BC26-BD26)&lt;=MAX(1,ABS(BD26))*1E-9,"일치","불일치")))</f>
        <v/>
      </c>
      <c r="BF26" s="4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4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4">
        <f>IFERROR(E26+AT26-AV26-AX26,"")</f>
        <v/>
      </c>
      <c r="BM26" t="n">
        <v>43205605562</v>
      </c>
      <c r="BN26">
        <f>IF(AND(BL26="",BM26=""),"",IF(OR(BL26="",BM26=""),"불일치",IF(ABS(BL26-BM26)&lt;=MAX(1,ABS(BM26))*1E-9,"일치","불일치")))</f>
        <v/>
      </c>
      <c r="BO26" s="4">
        <f>IFERROR(IF(OR(BL26&lt;=0,BL26&lt;0.1*E26),"",AG26/BL26),"")</f>
        <v/>
      </c>
      <c r="BP26" t="n">
        <v>0.02847881338532135</v>
      </c>
      <c r="BQ26">
        <f>IF(AND(BO26="",BP26=""),"",IF(OR(BO26="",BP26=""),"불일치",IF(ABS(BO26-BP26)&lt;=MAX(1,ABS(BP26))*1E-9,"일치","불일치")))</f>
        <v/>
      </c>
      <c r="BR26" s="4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5" t="inlineStr">
        <is>
          <t>회사</t>
        </is>
      </c>
      <c r="B1" s="5" t="inlineStr">
        <is>
          <t>종목코드</t>
        </is>
      </c>
      <c r="C1" s="5" t="inlineStr">
        <is>
          <t>항목</t>
        </is>
      </c>
      <c r="D1" s="5" t="inlineStr">
        <is>
          <t>기간 역할</t>
        </is>
      </c>
      <c r="E1" s="5" t="inlineStr">
        <is>
          <t>금액(원)</t>
        </is>
      </c>
      <c r="F1" s="5" t="inlineStr">
        <is>
          <t>매핑 신뢰도</t>
        </is>
      </c>
      <c r="G1" s="5" t="inlineStr">
        <is>
          <t>원 계정 ID</t>
        </is>
      </c>
      <c r="H1" s="5" t="inlineStr">
        <is>
          <t>원 계정명</t>
        </is>
      </c>
      <c r="I1" s="5" t="inlineStr">
        <is>
          <t>접수번호</t>
        </is>
      </c>
      <c r="J1" s="5" t="inlineStr">
        <is>
          <t>DART 원문</t>
        </is>
      </c>
      <c r="K1" s="5" t="inlineStr">
        <is>
          <t>확인(O/X)</t>
        </is>
      </c>
      <c r="L1" s="5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6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7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6" t="n">
        <v>44260956000000</v>
      </c>
      <c r="F3" t="inlineStr"/>
      <c r="I3" t="inlineStr">
        <is>
          <t>20260310002820</t>
        </is>
      </c>
      <c r="J3" s="7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6" t="n">
        <v>12962441000000</v>
      </c>
      <c r="F4" t="inlineStr"/>
      <c r="I4" t="inlineStr">
        <is>
          <t>20250814003156</t>
        </is>
      </c>
      <c r="J4" s="7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6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7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6" t="n">
        <v>45206805000000</v>
      </c>
      <c r="F6" t="inlineStr"/>
      <c r="I6" t="inlineStr">
        <is>
          <t>20260310002820</t>
        </is>
      </c>
      <c r="J6" s="7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6" t="n">
        <v>13339313000000</v>
      </c>
      <c r="F7" t="inlineStr"/>
      <c r="I7" t="inlineStr">
        <is>
          <t>20250814003156</t>
        </is>
      </c>
      <c r="J7" s="7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6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7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6" t="n">
        <v>333605938000000</v>
      </c>
      <c r="F9" t="inlineStr"/>
      <c r="I9" t="inlineStr">
        <is>
          <t>20260310002820</t>
        </is>
      </c>
      <c r="J9" s="7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6" t="n">
        <v>153706820000000</v>
      </c>
      <c r="F10" t="inlineStr"/>
      <c r="I10" t="inlineStr">
        <is>
          <t>20250814003156</t>
        </is>
      </c>
      <c r="J10" s="7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6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7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6" t="n">
        <v>131370425000000</v>
      </c>
      <c r="F12" t="inlineStr"/>
      <c r="I12" t="inlineStr">
        <is>
          <t>20260310002820</t>
        </is>
      </c>
      <c r="J12" s="7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6" t="n">
        <v>53627323000000</v>
      </c>
      <c r="F13" t="inlineStr"/>
      <c r="I13" t="inlineStr">
        <is>
          <t>20250814003156</t>
        </is>
      </c>
      <c r="J13" s="7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6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7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6" t="n">
        <v>43601051000000</v>
      </c>
      <c r="F15" t="inlineStr"/>
      <c r="I15" t="inlineStr">
        <is>
          <t>20260310002820</t>
        </is>
      </c>
      <c r="J15" s="7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6" t="n">
        <v>11361329000000</v>
      </c>
      <c r="F16" t="inlineStr"/>
      <c r="I16" t="inlineStr">
        <is>
          <t>20250814003156</t>
        </is>
      </c>
      <c r="J16" s="7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6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7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6" t="n">
        <v>85315148000000</v>
      </c>
      <c r="F18" t="inlineStr"/>
      <c r="I18" t="inlineStr">
        <is>
          <t>20260310002820</t>
        </is>
      </c>
      <c r="J18" s="7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6" t="n">
        <v>33941002000000</v>
      </c>
      <c r="F19" t="inlineStr"/>
      <c r="I19" t="inlineStr">
        <is>
          <t>20250814003156</t>
        </is>
      </c>
      <c r="J19" s="7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6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7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6" t="n">
        <v>388694117000000</v>
      </c>
      <c r="F21" t="inlineStr"/>
      <c r="I21" t="inlineStr">
        <is>
          <t>20250814003156</t>
        </is>
      </c>
      <c r="J21" s="7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6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7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6" t="n">
        <v>504875185000000</v>
      </c>
      <c r="F23" t="inlineStr"/>
      <c r="I23" t="inlineStr">
        <is>
          <t>20250814003156</t>
        </is>
      </c>
      <c r="J23" s="7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6" t="n">
        <v>8698600000000</v>
      </c>
      <c r="F24" t="inlineStr">
        <is>
          <t>id</t>
        </is>
      </c>
      <c r="G24" t="inlineStr">
        <is>
          <t>ifrs-full_CurrentPortionOfLongtermBorrowings + ifrs-full_NoncurrentPortionOfNoncurrentBondsIssued + ifrs-full_NoncurrentPortionOfNoncurrentLoansReceived</t>
        </is>
      </c>
      <c r="H24" t="inlineStr">
        <is>
          <t>유동성장기부채 + 사채 + 장기차입금</t>
        </is>
      </c>
      <c r="I24" t="inlineStr">
        <is>
          <t>20260814003699</t>
        </is>
      </c>
      <c r="J24" s="7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6" t="n">
        <v>14029673000000</v>
      </c>
      <c r="F25" t="inlineStr"/>
      <c r="I25" t="inlineStr">
        <is>
          <t>20250814003156</t>
        </is>
      </c>
      <c r="J25" s="7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6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7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6" t="n">
        <v>47120025000000</v>
      </c>
      <c r="F27" t="inlineStr"/>
      <c r="I27" t="inlineStr">
        <is>
          <t>20250814003156</t>
        </is>
      </c>
      <c r="J27" s="7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6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7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6" t="n">
        <v>53580554000000</v>
      </c>
      <c r="F29" t="inlineStr"/>
      <c r="I29" t="inlineStr">
        <is>
          <t>20250814003156</t>
        </is>
      </c>
      <c r="J29" s="7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6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7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6" t="n">
        <v>42919287000000</v>
      </c>
      <c r="F31" t="inlineStr"/>
      <c r="I31" t="inlineStr">
        <is>
          <t>20260317000635</t>
        </is>
      </c>
      <c r="J31" s="7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6" t="n">
        <v>15104309000000</v>
      </c>
      <c r="F32" t="inlineStr"/>
      <c r="I32" t="inlineStr">
        <is>
          <t>20250814003049</t>
        </is>
      </c>
      <c r="J32" s="7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6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7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6" t="n">
        <v>42947902000000</v>
      </c>
      <c r="F34" t="inlineStr"/>
      <c r="I34" t="inlineStr">
        <is>
          <t>20260317000635</t>
        </is>
      </c>
      <c r="J34" s="7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6" t="n">
        <v>15104411000000</v>
      </c>
      <c r="F35" t="inlineStr"/>
      <c r="I35" t="inlineStr">
        <is>
          <t>20250814003049</t>
        </is>
      </c>
      <c r="J35" s="7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6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7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6" t="n">
        <v>97146675000000</v>
      </c>
      <c r="F37" t="inlineStr"/>
      <c r="I37" t="inlineStr">
        <is>
          <t>20260317000635</t>
        </is>
      </c>
      <c r="J37" s="7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6" t="n">
        <v>39871093000000</v>
      </c>
      <c r="F38" t="inlineStr"/>
      <c r="I38" t="inlineStr">
        <is>
          <t>20250814003049</t>
        </is>
      </c>
      <c r="J38" s="7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6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7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6" t="n">
        <v>58690790000000</v>
      </c>
      <c r="F40" t="inlineStr"/>
      <c r="I40" t="inlineStr">
        <is>
          <t>20260317000635</t>
        </is>
      </c>
      <c r="J40" s="7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6" t="n">
        <v>22085315000000</v>
      </c>
      <c r="F41" t="inlineStr"/>
      <c r="I41" t="inlineStr">
        <is>
          <t>20250814003049</t>
        </is>
      </c>
      <c r="J41" s="7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6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7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6" t="n">
        <v>47206319000000</v>
      </c>
      <c r="F43" t="inlineStr"/>
      <c r="I43" t="inlineStr">
        <is>
          <t>20260317000635</t>
        </is>
      </c>
      <c r="J43" s="7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6" t="n">
        <v>16653355000000</v>
      </c>
      <c r="F44" t="inlineStr"/>
      <c r="I44" t="inlineStr">
        <is>
          <t>20250814003049</t>
        </is>
      </c>
      <c r="J44" s="7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6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7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6" t="n">
        <v>53373126000000</v>
      </c>
      <c r="F46" t="inlineStr"/>
      <c r="I46" t="inlineStr">
        <is>
          <t>20260317000635</t>
        </is>
      </c>
      <c r="J46" s="7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6" t="n">
        <v>18189841000000</v>
      </c>
      <c r="F47" t="inlineStr"/>
      <c r="I47" t="inlineStr">
        <is>
          <t>20250814003049</t>
        </is>
      </c>
      <c r="J47" s="7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6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7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6" t="n">
        <v>87127160000000</v>
      </c>
      <c r="F49" t="inlineStr"/>
      <c r="I49" t="inlineStr">
        <is>
          <t>20250814003049</t>
        </is>
      </c>
      <c r="J49" s="7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6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7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6" t="n">
        <v>129087781000000</v>
      </c>
      <c r="F51" t="inlineStr"/>
      <c r="I51" t="inlineStr">
        <is>
          <t>20250814003049</t>
        </is>
      </c>
      <c r="J51" s="7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6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7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6" t="n">
        <v>24369171000000</v>
      </c>
      <c r="F53" t="inlineStr"/>
      <c r="I53" t="inlineStr">
        <is>
          <t>20250814003049</t>
        </is>
      </c>
      <c r="J53" s="7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6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7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6" t="n">
        <v>9075311000000</v>
      </c>
      <c r="F55" t="inlineStr"/>
      <c r="I55" t="inlineStr">
        <is>
          <t>20250814003049</t>
        </is>
      </c>
      <c r="J55" s="7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6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7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6" t="n">
        <v>6219683000000</v>
      </c>
      <c r="F57" t="inlineStr"/>
      <c r="I57" t="inlineStr">
        <is>
          <t>20250814003049</t>
        </is>
      </c>
      <c r="J57" s="7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6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7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6" t="n">
        <v>9445987000000</v>
      </c>
      <c r="F59" t="inlineStr"/>
      <c r="I59" t="inlineStr">
        <is>
          <t>20260318001394</t>
        </is>
      </c>
      <c r="J59" s="7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6" t="n">
        <v>6155597000000</v>
      </c>
      <c r="F60" t="inlineStr"/>
      <c r="I60" t="inlineStr">
        <is>
          <t>20250814003906</t>
        </is>
      </c>
      <c r="J60" s="7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6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7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6" t="n">
        <v>10364775000000</v>
      </c>
      <c r="F62" t="inlineStr"/>
      <c r="I62" t="inlineStr">
        <is>
          <t>20260318001394</t>
        </is>
      </c>
      <c r="J62" s="7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6" t="n">
        <v>6632564000000</v>
      </c>
      <c r="F63" t="inlineStr"/>
      <c r="I63" t="inlineStr">
        <is>
          <t>20250814003906</t>
        </is>
      </c>
      <c r="J63" s="7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6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7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6" t="n">
        <v>186254472000000</v>
      </c>
      <c r="F65" t="inlineStr"/>
      <c r="I65" t="inlineStr">
        <is>
          <t>20260318001394</t>
        </is>
      </c>
      <c r="J65" s="7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6" t="n">
        <v>92694438000000</v>
      </c>
      <c r="F66" t="inlineStr"/>
      <c r="I66" t="inlineStr">
        <is>
          <t>20250814003906</t>
        </is>
      </c>
      <c r="J66" s="7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6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7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6" t="n">
        <v>34216836000000</v>
      </c>
      <c r="F68" t="inlineStr"/>
      <c r="I68" t="inlineStr">
        <is>
          <t>20260318001394</t>
        </is>
      </c>
      <c r="J68" s="7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6" t="n">
        <v>18089338000000</v>
      </c>
      <c r="F69" t="inlineStr"/>
      <c r="I69" t="inlineStr">
        <is>
          <t>20250814003906</t>
        </is>
      </c>
      <c r="J69" s="7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6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7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6" t="n">
        <v>11467851000000</v>
      </c>
      <c r="F71" t="inlineStr"/>
      <c r="I71" t="inlineStr">
        <is>
          <t>20260318001394</t>
        </is>
      </c>
      <c r="J71" s="7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6" t="n">
        <v>7235206000000</v>
      </c>
      <c r="F72" t="inlineStr"/>
      <c r="I72" t="inlineStr">
        <is>
          <t>20250814003906</t>
        </is>
      </c>
      <c r="J72" s="7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6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7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6" t="n">
        <v>-5991270000000</v>
      </c>
      <c r="F74" t="inlineStr"/>
      <c r="I74" t="inlineStr">
        <is>
          <t>20260318001394</t>
        </is>
      </c>
      <c r="J74" s="7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6" t="n">
        <v>959651000000</v>
      </c>
      <c r="F75" t="inlineStr"/>
      <c r="I75" t="inlineStr">
        <is>
          <t>20250814003906</t>
        </is>
      </c>
      <c r="J75" s="7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6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7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6" t="n">
        <v>110277190000000</v>
      </c>
      <c r="F77" t="inlineStr"/>
      <c r="I77" t="inlineStr">
        <is>
          <t>20250814003906</t>
        </is>
      </c>
      <c r="J77" s="7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6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7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6" t="n">
        <v>339702469000000</v>
      </c>
      <c r="F79" t="inlineStr"/>
      <c r="I79" t="inlineStr">
        <is>
          <t>20250814003906</t>
        </is>
      </c>
      <c r="J79" s="7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6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7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6" t="n">
        <v>155335783000000</v>
      </c>
      <c r="F81" t="inlineStr"/>
      <c r="I81" t="inlineStr">
        <is>
          <t>20250814003906</t>
        </is>
      </c>
      <c r="J81" s="7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6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7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6" t="n">
        <v>17519724000000</v>
      </c>
      <c r="F83" t="inlineStr"/>
      <c r="I83" t="inlineStr">
        <is>
          <t>20250814003906</t>
        </is>
      </c>
      <c r="J83" s="7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6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7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6" t="n">
        <v>7062973000000</v>
      </c>
      <c r="F85" t="inlineStr"/>
      <c r="I85" t="inlineStr">
        <is>
          <t>20250814003906</t>
        </is>
      </c>
      <c r="J85" s="7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6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7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6" t="n">
        <v>1953214734956</v>
      </c>
      <c r="F87" t="inlineStr"/>
      <c r="I87" t="inlineStr">
        <is>
          <t>20260313001021</t>
        </is>
      </c>
      <c r="J87" s="7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6" t="n">
        <v>913622969800</v>
      </c>
      <c r="F88" t="inlineStr"/>
      <c r="I88" t="inlineStr">
        <is>
          <t>20250814002281</t>
        </is>
      </c>
      <c r="J88" s="7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6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7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6" t="n">
        <v>1818746310015</v>
      </c>
      <c r="F90" t="inlineStr"/>
      <c r="I90" t="inlineStr">
        <is>
          <t>20260313001021</t>
        </is>
      </c>
      <c r="J90" s="7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6" t="n">
        <v>921019633550</v>
      </c>
      <c r="F91" t="inlineStr"/>
      <c r="I91" t="inlineStr">
        <is>
          <t>20250814002281</t>
        </is>
      </c>
      <c r="J91" s="7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6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7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6" t="n">
        <v>12035007218975</v>
      </c>
      <c r="F93" t="inlineStr"/>
      <c r="I93" t="inlineStr">
        <is>
          <t>20260313001021</t>
        </is>
      </c>
      <c r="J93" s="7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6" t="n">
        <v>5701868408120</v>
      </c>
      <c r="F94" t="inlineStr"/>
      <c r="I94" t="inlineStr">
        <is>
          <t>20250814002281</t>
        </is>
      </c>
      <c r="J94" s="7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6" t="n"/>
      <c r="F95" t="inlineStr">
        <is>
          <t>none</t>
        </is>
      </c>
      <c r="I95" t="inlineStr">
        <is>
          <t>20260814002266</t>
        </is>
      </c>
      <c r="J95" s="7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6" t="n"/>
      <c r="F96" t="inlineStr"/>
      <c r="I96" t="inlineStr">
        <is>
          <t>20260313001021</t>
        </is>
      </c>
      <c r="J96" s="7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6" t="n"/>
      <c r="F97" t="inlineStr"/>
      <c r="I97" t="inlineStr">
        <is>
          <t>20250814002281</t>
        </is>
      </c>
      <c r="J97" s="7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6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7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6" t="n">
        <v>2208138388720</v>
      </c>
      <c r="F99" t="inlineStr"/>
      <c r="I99" t="inlineStr">
        <is>
          <t>20260313001021</t>
        </is>
      </c>
      <c r="J99" s="7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6" t="n">
        <v>1026855081011</v>
      </c>
      <c r="F100" t="inlineStr"/>
      <c r="I100" t="inlineStr">
        <is>
          <t>20250814002281</t>
        </is>
      </c>
      <c r="J100" s="7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6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7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6" t="n">
        <v>3095806604677</v>
      </c>
      <c r="F102" t="inlineStr"/>
      <c r="I102" t="inlineStr">
        <is>
          <t>20260313001021</t>
        </is>
      </c>
      <c r="J102" s="7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6" t="n">
        <v>1124942340048</v>
      </c>
      <c r="F103" t="inlineStr"/>
      <c r="I103" t="inlineStr">
        <is>
          <t>20250814002281</t>
        </is>
      </c>
      <c r="J103" s="7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6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7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6" t="n">
        <v>26401621734922</v>
      </c>
      <c r="F105" t="inlineStr"/>
      <c r="I105" t="inlineStr">
        <is>
          <t>20250814002281</t>
        </is>
      </c>
      <c r="J105" s="7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6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7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6" t="n">
        <v>39351060803109</v>
      </c>
      <c r="F107" t="inlineStr"/>
      <c r="I107" t="inlineStr">
        <is>
          <t>20250814002281</t>
        </is>
      </c>
      <c r="J107" s="7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6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7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6" t="n">
        <v>2376064886149</v>
      </c>
      <c r="F109" t="inlineStr"/>
      <c r="I109" t="inlineStr">
        <is>
          <t>20250814002281</t>
        </is>
      </c>
      <c r="J109" s="7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6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7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6" t="n">
        <v>4871303504081</v>
      </c>
      <c r="F111" t="inlineStr"/>
      <c r="I111" t="inlineStr">
        <is>
          <t>20250814002281</t>
        </is>
      </c>
      <c r="J111" s="7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6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7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6" t="n">
        <v>2676558769142</v>
      </c>
      <c r="F113" t="inlineStr"/>
      <c r="I113" t="inlineStr">
        <is>
          <t>20250814002281</t>
        </is>
      </c>
      <c r="J113" s="7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6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7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6" t="n">
        <v>-1819449000000</v>
      </c>
      <c r="F115" t="inlineStr"/>
      <c r="I115" t="inlineStr">
        <is>
          <t>20260313001195</t>
        </is>
      </c>
      <c r="J115" s="7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6" t="n">
        <v>-541904000000</v>
      </c>
      <c r="F116" t="inlineStr"/>
      <c r="I116" t="inlineStr">
        <is>
          <t>20250814003066</t>
        </is>
      </c>
      <c r="J116" s="7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6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7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6" t="n">
        <v>-977063000000</v>
      </c>
      <c r="F118" t="inlineStr"/>
      <c r="I118" t="inlineStr">
        <is>
          <t>20260313001195</t>
        </is>
      </c>
      <c r="J118" s="7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6" t="n">
        <v>148485000000</v>
      </c>
      <c r="F119" t="inlineStr"/>
      <c r="I119" t="inlineStr">
        <is>
          <t>20250814003066</t>
        </is>
      </c>
      <c r="J119" s="7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6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7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6" t="n">
        <v>45932167000000</v>
      </c>
      <c r="F121" t="inlineStr"/>
      <c r="I121" t="inlineStr">
        <is>
          <t>20260313001195</t>
        </is>
      </c>
      <c r="J121" s="7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6" t="n">
        <v>23538863000000</v>
      </c>
      <c r="F122" t="inlineStr"/>
      <c r="I122" t="inlineStr">
        <is>
          <t>20250814003066</t>
        </is>
      </c>
      <c r="J122" s="7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6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7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6" t="n">
        <v>7809460000000</v>
      </c>
      <c r="F124" t="inlineStr"/>
      <c r="I124" t="inlineStr">
        <is>
          <t>20260313001195</t>
        </is>
      </c>
      <c r="J124" s="7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6" t="n">
        <v>3920184000000</v>
      </c>
      <c r="F125" t="inlineStr"/>
      <c r="I125" t="inlineStr">
        <is>
          <t>20250814003066</t>
        </is>
      </c>
      <c r="J125" s="7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6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7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6" t="n">
        <v>1180900000000</v>
      </c>
      <c r="F127" t="inlineStr"/>
      <c r="I127" t="inlineStr">
        <is>
          <t>20260313001195</t>
        </is>
      </c>
      <c r="J127" s="7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6" t="n">
        <v>914450000000</v>
      </c>
      <c r="F128" t="inlineStr"/>
      <c r="I128" t="inlineStr">
        <is>
          <t>20250814003066</t>
        </is>
      </c>
      <c r="J128" s="7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6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7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6" t="n">
        <v>8233859000000</v>
      </c>
      <c r="F130" t="inlineStr"/>
      <c r="I130" t="inlineStr">
        <is>
          <t>20260313001195</t>
        </is>
      </c>
      <c r="J130" s="7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6" t="n">
        <v>3229502000000</v>
      </c>
      <c r="F131" t="inlineStr"/>
      <c r="I131" t="inlineStr">
        <is>
          <t>20250814003066</t>
        </is>
      </c>
      <c r="J131" s="7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6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7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6" t="n">
        <v>31447235000000</v>
      </c>
      <c r="F133" t="inlineStr"/>
      <c r="I133" t="inlineStr">
        <is>
          <t>20250814003066</t>
        </is>
      </c>
      <c r="J133" s="7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6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7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6" t="n">
        <v>93952004000000</v>
      </c>
      <c r="F135" t="inlineStr"/>
      <c r="I135" t="inlineStr">
        <is>
          <t>20250814003066</t>
        </is>
      </c>
      <c r="J135" s="7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6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7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6" t="n">
        <v>31797555000000</v>
      </c>
      <c r="F137" t="inlineStr"/>
      <c r="I137" t="inlineStr">
        <is>
          <t>20250814003066</t>
        </is>
      </c>
      <c r="J137" s="7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6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7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6" t="n">
        <v>8382552000000</v>
      </c>
      <c r="F139" t="inlineStr"/>
      <c r="I139" t="inlineStr">
        <is>
          <t>20250814003066</t>
        </is>
      </c>
      <c r="J139" s="7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6" t="n">
        <v>0</v>
      </c>
      <c r="F140" t="inlineStr">
        <is>
          <t>zero_default</t>
        </is>
      </c>
      <c r="I140" t="inlineStr">
        <is>
          <t>20260814002655</t>
        </is>
      </c>
      <c r="J140" s="7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6" t="n">
        <v>0</v>
      </c>
      <c r="F141" t="inlineStr"/>
      <c r="I141" t="inlineStr">
        <is>
          <t>20250814003066</t>
        </is>
      </c>
      <c r="J141" s="7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6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7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6" t="n">
        <v>491491558183</v>
      </c>
      <c r="F143" t="inlineStr"/>
      <c r="I143" t="inlineStr">
        <is>
          <t>20260318001423</t>
        </is>
      </c>
      <c r="J143" s="7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6" t="n">
        <v>333098744047</v>
      </c>
      <c r="F144" t="inlineStr"/>
      <c r="I144" t="inlineStr">
        <is>
          <t>20250814003953</t>
        </is>
      </c>
      <c r="J144" s="7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6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7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6" t="n">
        <v>517959587282</v>
      </c>
      <c r="F146" t="inlineStr"/>
      <c r="I146" t="inlineStr">
        <is>
          <t>20260318001423</t>
        </is>
      </c>
      <c r="J146" s="7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6" t="n">
        <v>372149284703</v>
      </c>
      <c r="F147" t="inlineStr"/>
      <c r="I147" t="inlineStr">
        <is>
          <t>20250814003953</t>
        </is>
      </c>
      <c r="J147" s="7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6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7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6" t="n">
        <v>8099147815086</v>
      </c>
      <c r="F149" t="inlineStr"/>
      <c r="I149" t="inlineStr">
        <is>
          <t>20260318001423</t>
        </is>
      </c>
      <c r="J149" s="7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6" t="n">
        <v>3892043657398</v>
      </c>
      <c r="F150" t="inlineStr"/>
      <c r="I150" t="inlineStr">
        <is>
          <t>20250814003953</t>
        </is>
      </c>
      <c r="J150" s="7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6" t="n"/>
      <c r="F151" t="inlineStr">
        <is>
          <t>none</t>
        </is>
      </c>
      <c r="I151" t="inlineStr">
        <is>
          <t>20260819000055</t>
        </is>
      </c>
      <c r="J151" s="7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6" t="n"/>
      <c r="F152" t="inlineStr"/>
      <c r="I152" t="inlineStr">
        <is>
          <t>20260318001423</t>
        </is>
      </c>
      <c r="J152" s="7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6" t="n"/>
      <c r="F153" t="inlineStr"/>
      <c r="I153" t="inlineStr">
        <is>
          <t>20250814003953</t>
        </is>
      </c>
      <c r="J153" s="7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6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7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6" t="n">
        <v>732036535379</v>
      </c>
      <c r="F155" t="inlineStr"/>
      <c r="I155" t="inlineStr">
        <is>
          <t>20260318001423</t>
        </is>
      </c>
      <c r="J155" s="7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6" t="n">
        <v>291326822837</v>
      </c>
      <c r="F156" t="inlineStr"/>
      <c r="I156" t="inlineStr">
        <is>
          <t>20250814003953</t>
        </is>
      </c>
      <c r="J156" s="7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6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7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6" t="n">
        <v>1404762595727</v>
      </c>
      <c r="F158" t="inlineStr"/>
      <c r="I158" t="inlineStr">
        <is>
          <t>20260318001423</t>
        </is>
      </c>
      <c r="J158" s="7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6" t="n">
        <v>623768925756</v>
      </c>
      <c r="F159" t="inlineStr"/>
      <c r="I159" t="inlineStr">
        <is>
          <t>20250814003953</t>
        </is>
      </c>
      <c r="J159" s="7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6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7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6" t="n">
        <v>10574934599909</v>
      </c>
      <c r="F161" t="inlineStr"/>
      <c r="I161" t="inlineStr">
        <is>
          <t>20250814003953</t>
        </is>
      </c>
      <c r="J161" s="7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6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7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6" t="n">
        <v>26562575454793</v>
      </c>
      <c r="F163" t="inlineStr"/>
      <c r="I163" t="inlineStr">
        <is>
          <t>20250814003953</t>
        </is>
      </c>
      <c r="J163" s="7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6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7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6" t="n">
        <v>4068940382151</v>
      </c>
      <c r="F165" t="inlineStr"/>
      <c r="I165" t="inlineStr">
        <is>
          <t>20250814003953</t>
        </is>
      </c>
      <c r="J165" s="7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6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7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6" t="n">
        <v>5748547932731</v>
      </c>
      <c r="F167" t="inlineStr"/>
      <c r="I167" t="inlineStr">
        <is>
          <t>20250814003953</t>
        </is>
      </c>
      <c r="J167" s="7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6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7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6" t="n">
        <v>1603292059222</v>
      </c>
      <c r="F169" t="inlineStr"/>
      <c r="I169" t="inlineStr">
        <is>
          <t>20250814003953</t>
        </is>
      </c>
      <c r="J169" s="7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6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7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6" t="n">
        <v>737248000000</v>
      </c>
      <c r="F171" t="inlineStr"/>
      <c r="I171" t="inlineStr">
        <is>
          <t>20260318001025</t>
        </is>
      </c>
      <c r="J171" s="7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6" t="n">
        <v>784834000000</v>
      </c>
      <c r="F172" t="inlineStr"/>
      <c r="I172" t="inlineStr">
        <is>
          <t>20250814003006</t>
        </is>
      </c>
      <c r="J172" s="7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6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7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6" t="n">
        <v>1000121000000</v>
      </c>
      <c r="F174" t="inlineStr"/>
      <c r="I174" t="inlineStr">
        <is>
          <t>20260318001025</t>
        </is>
      </c>
      <c r="J174" s="7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6" t="n">
        <v>852645000000</v>
      </c>
      <c r="F175" t="inlineStr"/>
      <c r="I175" t="inlineStr">
        <is>
          <t>20250814003006</t>
        </is>
      </c>
      <c r="J175" s="7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6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7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6" t="n">
        <v>7252547000000</v>
      </c>
      <c r="F177" t="inlineStr"/>
      <c r="I177" t="inlineStr">
        <is>
          <t>20260318001025</t>
        </is>
      </c>
      <c r="J177" s="7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6" t="n">
        <v>3733846000000</v>
      </c>
      <c r="F178" t="inlineStr"/>
      <c r="I178" t="inlineStr">
        <is>
          <t>20250814003006</t>
        </is>
      </c>
      <c r="J178" s="7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6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7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6" t="n">
        <v>1353734000000</v>
      </c>
      <c r="F180" t="inlineStr"/>
      <c r="I180" t="inlineStr">
        <is>
          <t>20260318001025</t>
        </is>
      </c>
      <c r="J180" s="7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6" t="n">
        <v>1112265000000</v>
      </c>
      <c r="F181" t="inlineStr"/>
      <c r="I181" t="inlineStr">
        <is>
          <t>20250814003006</t>
        </is>
      </c>
      <c r="J181" s="7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6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7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6" t="n">
        <v>912174000000</v>
      </c>
      <c r="F183" t="inlineStr"/>
      <c r="I183" t="inlineStr">
        <is>
          <t>20260318001025</t>
        </is>
      </c>
      <c r="J183" s="7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6" t="n">
        <v>914931000000</v>
      </c>
      <c r="F184" t="inlineStr"/>
      <c r="I184" t="inlineStr">
        <is>
          <t>20250814003006</t>
        </is>
      </c>
      <c r="J184" s="7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6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7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6" t="n">
        <v>1015114000000</v>
      </c>
      <c r="F186" t="inlineStr"/>
      <c r="I186" t="inlineStr">
        <is>
          <t>20260318001025</t>
        </is>
      </c>
      <c r="J186" s="7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6" t="n">
        <v>479305000000</v>
      </c>
      <c r="F187" t="inlineStr"/>
      <c r="I187" t="inlineStr">
        <is>
          <t>20250814003006</t>
        </is>
      </c>
      <c r="J187" s="7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6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7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6" t="n">
        <v>27092817000000</v>
      </c>
      <c r="F189" t="inlineStr"/>
      <c r="I189" t="inlineStr">
        <is>
          <t>20250814003006</t>
        </is>
      </c>
      <c r="J189" s="7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6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7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6" t="n">
        <v>31461920000000</v>
      </c>
      <c r="F191" t="inlineStr"/>
      <c r="I191" t="inlineStr">
        <is>
          <t>20250814003006</t>
        </is>
      </c>
      <c r="J191" s="7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6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7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6" t="n">
        <v>663691000000</v>
      </c>
      <c r="F193" t="inlineStr"/>
      <c r="I193" t="inlineStr">
        <is>
          <t>20250814003006</t>
        </is>
      </c>
      <c r="J193" s="7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6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7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6" t="n">
        <v>1687295000000</v>
      </c>
      <c r="F195" t="inlineStr"/>
      <c r="I195" t="inlineStr">
        <is>
          <t>20250814003006</t>
        </is>
      </c>
      <c r="J195" s="7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6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7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6" t="n">
        <v>947384000000</v>
      </c>
      <c r="F197" t="inlineStr"/>
      <c r="I197" t="inlineStr">
        <is>
          <t>20250814003006</t>
        </is>
      </c>
      <c r="J197" s="7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6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7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6" t="n">
        <v>1597498000000</v>
      </c>
      <c r="F199" t="inlineStr"/>
      <c r="I199" t="inlineStr">
        <is>
          <t>20260318001157</t>
        </is>
      </c>
      <c r="J199" s="7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6" t="n">
        <v>2896643000000</v>
      </c>
      <c r="F200" t="inlineStr"/>
      <c r="I200" t="inlineStr">
        <is>
          <t>20250814003843</t>
        </is>
      </c>
      <c r="J200" s="7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6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7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6" t="n">
        <v>3555246000000</v>
      </c>
      <c r="F202" t="inlineStr"/>
      <c r="I202" t="inlineStr">
        <is>
          <t>20260318001157</t>
        </is>
      </c>
      <c r="J202" s="7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6" t="n">
        <v>4567523000000</v>
      </c>
      <c r="F203" t="inlineStr"/>
      <c r="I203" t="inlineStr">
        <is>
          <t>20250814003843</t>
        </is>
      </c>
      <c r="J203" s="7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6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7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6" t="n">
        <v>122703338000000</v>
      </c>
      <c r="F205" t="inlineStr"/>
      <c r="I205" t="inlineStr">
        <is>
          <t>20260318001157</t>
        </is>
      </c>
      <c r="J205" s="7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6" t="n">
        <v>61371896000000</v>
      </c>
      <c r="F206" t="inlineStr"/>
      <c r="I206" t="inlineStr">
        <is>
          <t>20250814003843</t>
        </is>
      </c>
      <c r="J206" s="7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6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7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6" t="n">
        <v>9587910000000</v>
      </c>
      <c r="F208" t="inlineStr"/>
      <c r="I208" t="inlineStr">
        <is>
          <t>20260318001157</t>
        </is>
      </c>
      <c r="J208" s="7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6" t="n">
        <v>4317741000000</v>
      </c>
      <c r="F209" t="inlineStr"/>
      <c r="I209" t="inlineStr">
        <is>
          <t>20250814003843</t>
        </is>
      </c>
      <c r="J209" s="7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6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7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6" t="n">
        <v>1818476000000</v>
      </c>
      <c r="F211" t="inlineStr"/>
      <c r="I211" t="inlineStr">
        <is>
          <t>20260318001157</t>
        </is>
      </c>
      <c r="J211" s="7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6" t="n">
        <v>599335000000</v>
      </c>
      <c r="F212" t="inlineStr"/>
      <c r="I212" t="inlineStr">
        <is>
          <t>20250814003843</t>
        </is>
      </c>
      <c r="J212" s="7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6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7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6" t="n">
        <v>6098798000000</v>
      </c>
      <c r="F214" t="inlineStr"/>
      <c r="I214" t="inlineStr">
        <is>
          <t>20260318001157</t>
        </is>
      </c>
      <c r="J214" s="7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6" t="n">
        <v>2759310000000</v>
      </c>
      <c r="F215" t="inlineStr"/>
      <c r="I215" t="inlineStr">
        <is>
          <t>20250814003843</t>
        </is>
      </c>
      <c r="J215" s="7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6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7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6" t="n">
        <v>26144793000000</v>
      </c>
      <c r="F217" t="inlineStr"/>
      <c r="I217" t="inlineStr">
        <is>
          <t>20250814003843</t>
        </is>
      </c>
      <c r="J217" s="7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6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7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6" t="n">
        <v>206385526000000</v>
      </c>
      <c r="F219" t="inlineStr"/>
      <c r="I219" t="inlineStr">
        <is>
          <t>20250814003843</t>
        </is>
      </c>
      <c r="J219" s="7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6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7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6" t="n">
        <v>82473213000000</v>
      </c>
      <c r="F221" t="inlineStr"/>
      <c r="I221" t="inlineStr">
        <is>
          <t>20250814003843</t>
        </is>
      </c>
      <c r="J221" s="7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6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7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6" t="n">
        <v>21494710000000</v>
      </c>
      <c r="F223" t="inlineStr"/>
      <c r="I223" t="inlineStr">
        <is>
          <t>20250814003843</t>
        </is>
      </c>
      <c r="J223" s="7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6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7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6" t="n">
        <v>3845079000000</v>
      </c>
      <c r="F225" t="inlineStr"/>
      <c r="I225" t="inlineStr">
        <is>
          <t>20250814003843</t>
        </is>
      </c>
      <c r="J225" s="7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6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7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6" t="n">
        <v>-2741692510</v>
      </c>
      <c r="F227" t="inlineStr"/>
      <c r="I227" t="inlineStr">
        <is>
          <t>20260317000438</t>
        </is>
      </c>
      <c r="J227" s="7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6" t="n">
        <v>-113861141</v>
      </c>
      <c r="F228" t="inlineStr"/>
      <c r="I228" t="inlineStr">
        <is>
          <t>20250813000456</t>
        </is>
      </c>
      <c r="J228" s="7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6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7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6" t="n">
        <v>-2741692510</v>
      </c>
      <c r="F230" t="inlineStr"/>
      <c r="I230" t="inlineStr">
        <is>
          <t>20260317000438</t>
        </is>
      </c>
      <c r="J230" s="7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6" t="n">
        <v>-113861141</v>
      </c>
      <c r="F231" t="inlineStr"/>
      <c r="I231" t="inlineStr">
        <is>
          <t>20250813000456</t>
        </is>
      </c>
      <c r="J231" s="7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6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7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6" t="n">
        <v>259464652455</v>
      </c>
      <c r="F233" t="inlineStr"/>
      <c r="I233" t="inlineStr">
        <is>
          <t>20260317000438</t>
        </is>
      </c>
      <c r="J233" s="7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6" t="n">
        <v>135325665657</v>
      </c>
      <c r="F234" t="inlineStr"/>
      <c r="I234" t="inlineStr">
        <is>
          <t>20250813000456</t>
        </is>
      </c>
      <c r="J234" s="7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6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7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6" t="n">
        <v>11678757305</v>
      </c>
      <c r="F236" t="inlineStr"/>
      <c r="I236" t="inlineStr">
        <is>
          <t>20260317000438</t>
        </is>
      </c>
      <c r="J236" s="7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6" t="n">
        <v>8763639563</v>
      </c>
      <c r="F237" t="inlineStr"/>
      <c r="I237" t="inlineStr">
        <is>
          <t>20250813000456</t>
        </is>
      </c>
      <c r="J237" s="7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6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7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6" t="n">
        <v>1333662111</v>
      </c>
      <c r="F239" t="inlineStr"/>
      <c r="I239" t="inlineStr">
        <is>
          <t>20260317000438</t>
        </is>
      </c>
      <c r="J239" s="7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6" t="n">
        <v>4393909052</v>
      </c>
      <c r="F240" t="inlineStr"/>
      <c r="I240" t="inlineStr">
        <is>
          <t>20250813000456</t>
        </is>
      </c>
      <c r="J240" s="7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6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7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6" t="n">
        <v>11627330062</v>
      </c>
      <c r="F242" t="inlineStr"/>
      <c r="I242" t="inlineStr">
        <is>
          <t>20260317000438</t>
        </is>
      </c>
      <c r="J242" s="7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6" t="n">
        <v>-3441190272</v>
      </c>
      <c r="F243" t="inlineStr"/>
      <c r="I243" t="inlineStr">
        <is>
          <t>20250813000456</t>
        </is>
      </c>
      <c r="J243" s="7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6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7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6" t="n">
        <v>48758181161</v>
      </c>
      <c r="F245" t="inlineStr"/>
      <c r="I245" t="inlineStr">
        <is>
          <t>20250813000456</t>
        </is>
      </c>
      <c r="J245" s="7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6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7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6" t="n">
        <v>217262765598</v>
      </c>
      <c r="F247" t="inlineStr"/>
      <c r="I247" t="inlineStr">
        <is>
          <t>20250813000456</t>
        </is>
      </c>
      <c r="J247" s="7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6" t="n">
        <v>2530070664</v>
      </c>
      <c r="F248" t="inlineStr">
        <is>
          <t>id</t>
        </is>
      </c>
      <c r="G248" t="inlineStr">
        <is>
          <t>dart_CurrentPortionOfConvertibleBonds</t>
        </is>
      </c>
      <c r="H248" t="inlineStr">
        <is>
          <t>유동성전환사채</t>
        </is>
      </c>
      <c r="I248" t="inlineStr">
        <is>
          <t>20260930000262</t>
        </is>
      </c>
      <c r="J248" s="7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6" t="n">
        <v>96189239830</v>
      </c>
      <c r="F249" t="inlineStr"/>
      <c r="I249" t="inlineStr">
        <is>
          <t>20250813000456</t>
        </is>
      </c>
      <c r="J249" s="7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6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7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6" t="n">
        <v>16280580527</v>
      </c>
      <c r="F251" t="inlineStr"/>
      <c r="I251" t="inlineStr">
        <is>
          <t>20250813000456</t>
        </is>
      </c>
      <c r="J251" s="7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6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7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6" t="n">
        <v>1568000000</v>
      </c>
      <c r="F253" t="inlineStr"/>
      <c r="I253" t="inlineStr">
        <is>
          <t>20250813000456</t>
        </is>
      </c>
      <c r="J253" s="7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6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7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6" t="n">
        <v>15505496859</v>
      </c>
      <c r="F255" t="inlineStr"/>
      <c r="I255" t="inlineStr">
        <is>
          <t>20260323001268</t>
        </is>
      </c>
      <c r="J255" s="7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6" t="n">
        <v>8061177246</v>
      </c>
      <c r="F256" t="inlineStr"/>
      <c r="I256" t="inlineStr">
        <is>
          <t>20250814004442</t>
        </is>
      </c>
      <c r="J256" s="7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6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7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6" t="n">
        <v>15474045546</v>
      </c>
      <c r="F258" t="inlineStr"/>
      <c r="I258" t="inlineStr">
        <is>
          <t>20260323001268</t>
        </is>
      </c>
      <c r="J258" s="7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6" t="n">
        <v>8038326713</v>
      </c>
      <c r="F259" t="inlineStr"/>
      <c r="I259" t="inlineStr">
        <is>
          <t>20250814004442</t>
        </is>
      </c>
      <c r="J259" s="7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6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7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6" t="n">
        <v>72822323336</v>
      </c>
      <c r="F261" t="inlineStr"/>
      <c r="I261" t="inlineStr">
        <is>
          <t>20260323001268</t>
        </is>
      </c>
      <c r="J261" s="7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6" t="n">
        <v>30609513822</v>
      </c>
      <c r="F262" t="inlineStr"/>
      <c r="I262" t="inlineStr">
        <is>
          <t>20250814004442</t>
        </is>
      </c>
      <c r="J262" s="7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6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7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6" t="n">
        <v>26730413948</v>
      </c>
      <c r="F264" t="inlineStr"/>
      <c r="I264" t="inlineStr">
        <is>
          <t>20260323001268</t>
        </is>
      </c>
      <c r="J264" s="7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6" t="n">
        <v>13429452013</v>
      </c>
      <c r="F265" t="inlineStr"/>
      <c r="I265" t="inlineStr">
        <is>
          <t>20250814004442</t>
        </is>
      </c>
      <c r="J265" s="7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6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7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6" t="n">
        <v>18997461570</v>
      </c>
      <c r="F267" t="inlineStr"/>
      <c r="I267" t="inlineStr">
        <is>
          <t>20260323001268</t>
        </is>
      </c>
      <c r="J267" s="7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6" t="n">
        <v>9759440404</v>
      </c>
      <c r="F268" t="inlineStr"/>
      <c r="I268" t="inlineStr">
        <is>
          <t>20250814004442</t>
        </is>
      </c>
      <c r="J268" s="7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6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7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6" t="n">
        <v>19722105537</v>
      </c>
      <c r="F270" t="inlineStr"/>
      <c r="I270" t="inlineStr">
        <is>
          <t>20260323001268</t>
        </is>
      </c>
      <c r="J270" s="7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6" t="n">
        <v>12320753817</v>
      </c>
      <c r="F271" t="inlineStr"/>
      <c r="I271" t="inlineStr">
        <is>
          <t>20250814004442</t>
        </is>
      </c>
      <c r="J271" s="7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6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7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6" t="n">
        <v>72734519469</v>
      </c>
      <c r="F273" t="inlineStr"/>
      <c r="I273" t="inlineStr">
        <is>
          <t>20250814004442</t>
        </is>
      </c>
      <c r="J273" s="7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6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7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6" t="n">
        <v>91519256601</v>
      </c>
      <c r="F275" t="inlineStr"/>
      <c r="I275" t="inlineStr">
        <is>
          <t>20250814004442</t>
        </is>
      </c>
      <c r="J275" s="7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6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7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6" t="n">
        <v>6775125394</v>
      </c>
      <c r="F277" t="inlineStr"/>
      <c r="I277" t="inlineStr">
        <is>
          <t>20250814004442</t>
        </is>
      </c>
      <c r="J277" s="7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6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7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6" t="n">
        <v>56461671990</v>
      </c>
      <c r="F279" t="inlineStr"/>
      <c r="I279" t="inlineStr">
        <is>
          <t>20250814004442</t>
        </is>
      </c>
      <c r="J279" s="7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6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7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6" t="n">
        <v>832176086</v>
      </c>
      <c r="F281" t="inlineStr"/>
      <c r="I281" t="inlineStr">
        <is>
          <t>20250814004442</t>
        </is>
      </c>
      <c r="J281" s="7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6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7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6" t="n">
        <v>22286848623</v>
      </c>
      <c r="F283" t="inlineStr"/>
      <c r="I283" t="inlineStr">
        <is>
          <t>20260318001709</t>
        </is>
      </c>
      <c r="J283" s="7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6" t="n">
        <v>3951759032</v>
      </c>
      <c r="F284" t="inlineStr"/>
      <c r="I284" t="inlineStr">
        <is>
          <t>20250813001569</t>
        </is>
      </c>
      <c r="J284" s="7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6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7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6" t="n">
        <v>22286848623</v>
      </c>
      <c r="F286" t="inlineStr"/>
      <c r="I286" t="inlineStr">
        <is>
          <t>20260318001709</t>
        </is>
      </c>
      <c r="J286" s="7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6" t="n">
        <v>3951759032</v>
      </c>
      <c r="F287" t="inlineStr"/>
      <c r="I287" t="inlineStr">
        <is>
          <t>20250813001569</t>
        </is>
      </c>
      <c r="J287" s="7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6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7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6" t="n">
        <v>120686230379</v>
      </c>
      <c r="F289" t="inlineStr"/>
      <c r="I289" t="inlineStr">
        <is>
          <t>20260318001709</t>
        </is>
      </c>
      <c r="J289" s="7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6" t="n">
        <v>61122380211</v>
      </c>
      <c r="F290" t="inlineStr"/>
      <c r="I290" t="inlineStr">
        <is>
          <t>20250813001569</t>
        </is>
      </c>
      <c r="J290" s="7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6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7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6" t="n">
        <v>78151057747</v>
      </c>
      <c r="F292" t="inlineStr"/>
      <c r="I292" t="inlineStr">
        <is>
          <t>20260318001709</t>
        </is>
      </c>
      <c r="J292" s="7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6" t="n">
        <v>39248733751</v>
      </c>
      <c r="F293" t="inlineStr"/>
      <c r="I293" t="inlineStr">
        <is>
          <t>20250813001569</t>
        </is>
      </c>
      <c r="J293" s="7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6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7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6" t="n">
        <v>2526241951</v>
      </c>
      <c r="F295" t="inlineStr"/>
      <c r="I295" t="inlineStr">
        <is>
          <t>20260318001709</t>
        </is>
      </c>
      <c r="J295" s="7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6" t="n">
        <v>6320122647</v>
      </c>
      <c r="F296" t="inlineStr"/>
      <c r="I296" t="inlineStr">
        <is>
          <t>20250813001569</t>
        </is>
      </c>
      <c r="J296" s="7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6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7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6" t="n">
        <v>1464986839</v>
      </c>
      <c r="F298" t="inlineStr"/>
      <c r="I298" t="inlineStr">
        <is>
          <t>20260318001709</t>
        </is>
      </c>
      <c r="J298" s="7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6" t="n">
        <v>3296450345</v>
      </c>
      <c r="F299" t="inlineStr"/>
      <c r="I299" t="inlineStr">
        <is>
          <t>20250813001569</t>
        </is>
      </c>
      <c r="J299" s="7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6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7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6" t="n">
        <v>126310394230</v>
      </c>
      <c r="F301" t="inlineStr"/>
      <c r="I301" t="inlineStr">
        <is>
          <t>20250813001569</t>
        </is>
      </c>
      <c r="J301" s="7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6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7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6" t="n">
        <v>228769952049</v>
      </c>
      <c r="F303" t="inlineStr"/>
      <c r="I303" t="inlineStr">
        <is>
          <t>20250813001569</t>
        </is>
      </c>
      <c r="J303" s="7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6" t="n">
        <v>377934408</v>
      </c>
      <c r="F304" t="inlineStr">
        <is>
          <t>id</t>
        </is>
      </c>
      <c r="G304" t="inlineStr">
        <is>
          <t>dart_CurrentPortionOfConvertibleBonds</t>
        </is>
      </c>
      <c r="H304" t="inlineStr">
        <is>
          <t>전환사채</t>
        </is>
      </c>
      <c r="I304" t="inlineStr">
        <is>
          <t>20260813000886</t>
        </is>
      </c>
      <c r="J304" s="7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6" t="n">
        <v>77377785640</v>
      </c>
      <c r="F305" t="inlineStr"/>
      <c r="I305" t="inlineStr">
        <is>
          <t>20250813001569</t>
        </is>
      </c>
      <c r="J305" s="7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6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7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6" t="n">
        <v>371646728</v>
      </c>
      <c r="F307" t="inlineStr"/>
      <c r="I307" t="inlineStr">
        <is>
          <t>20250813001569</t>
        </is>
      </c>
      <c r="J307" s="7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6" t="n">
        <v>0</v>
      </c>
      <c r="F308" t="inlineStr">
        <is>
          <t>zero_default</t>
        </is>
      </c>
      <c r="I308" t="inlineStr">
        <is>
          <t>20260813000886</t>
        </is>
      </c>
      <c r="J308" s="7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6" t="n">
        <v>0</v>
      </c>
      <c r="F309" t="inlineStr"/>
      <c r="I309" t="inlineStr">
        <is>
          <t>20250813001569</t>
        </is>
      </c>
      <c r="J309" s="7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6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7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6" t="n">
        <v>-647552868590</v>
      </c>
      <c r="F311" t="inlineStr"/>
      <c r="I311" t="inlineStr">
        <is>
          <t>20260316001619</t>
        </is>
      </c>
      <c r="J311" s="7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6" t="n">
        <v>-204893627830</v>
      </c>
      <c r="F312" t="inlineStr"/>
      <c r="I312" t="inlineStr">
        <is>
          <t>20250814004439</t>
        </is>
      </c>
      <c r="J312" s="7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6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7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6" t="n">
        <v>-595003287583</v>
      </c>
      <c r="F314" t="inlineStr"/>
      <c r="I314" t="inlineStr">
        <is>
          <t>20260316001619</t>
        </is>
      </c>
      <c r="J314" s="7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6" t="n">
        <v>-160406356485</v>
      </c>
      <c r="F315" t="inlineStr"/>
      <c r="I315" t="inlineStr">
        <is>
          <t>20250814004439</t>
        </is>
      </c>
      <c r="J315" s="7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6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7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6" t="n">
        <v>15539626589471</v>
      </c>
      <c r="F317" t="inlineStr"/>
      <c r="I317" t="inlineStr">
        <is>
          <t>20260316001619</t>
        </is>
      </c>
      <c r="J317" s="7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6" t="n">
        <v>7628438979590</v>
      </c>
      <c r="F318" t="inlineStr"/>
      <c r="I318" t="inlineStr">
        <is>
          <t>20250814004439</t>
        </is>
      </c>
      <c r="J318" s="7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6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7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6" t="n">
        <v>4430741650311</v>
      </c>
      <c r="F320" t="inlineStr"/>
      <c r="I320" t="inlineStr">
        <is>
          <t>20260316001619</t>
        </is>
      </c>
      <c r="J320" s="7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6" t="n">
        <v>2214111023770</v>
      </c>
      <c r="F321" t="inlineStr"/>
      <c r="I321" t="inlineStr">
        <is>
          <t>20250814004439</t>
        </is>
      </c>
      <c r="J321" s="7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6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7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6" t="n">
        <v>239439333968</v>
      </c>
      <c r="F323" t="inlineStr"/>
      <c r="I323" t="inlineStr">
        <is>
          <t>20260316001619</t>
        </is>
      </c>
      <c r="J323" s="7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6" t="n">
        <v>160153874683</v>
      </c>
      <c r="F324" t="inlineStr"/>
      <c r="I324" t="inlineStr">
        <is>
          <t>20250814004439</t>
        </is>
      </c>
      <c r="J324" s="7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6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7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6" t="n">
        <v>1156131183818</v>
      </c>
      <c r="F326" t="inlineStr"/>
      <c r="I326" t="inlineStr">
        <is>
          <t>20260316001619</t>
        </is>
      </c>
      <c r="J326" s="7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6" t="n">
        <v>448102936859</v>
      </c>
      <c r="F327" t="inlineStr"/>
      <c r="I327" t="inlineStr">
        <is>
          <t>20250814004439</t>
        </is>
      </c>
      <c r="J327" s="7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6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7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6" t="n">
        <v>5940329474021</v>
      </c>
      <c r="F329" t="inlineStr"/>
      <c r="I329" t="inlineStr">
        <is>
          <t>20250814004439</t>
        </is>
      </c>
      <c r="J329" s="7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6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7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6" t="n">
        <v>22467936174334</v>
      </c>
      <c r="F331" t="inlineStr"/>
      <c r="I331" t="inlineStr">
        <is>
          <t>20250814004439</t>
        </is>
      </c>
      <c r="J331" s="7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6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7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6" t="n">
        <v>8577926248556</v>
      </c>
      <c r="F333" t="inlineStr"/>
      <c r="I333" t="inlineStr">
        <is>
          <t>20250814004439</t>
        </is>
      </c>
      <c r="J333" s="7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6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7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6" t="n">
        <v>1170280786761</v>
      </c>
      <c r="F335" t="inlineStr"/>
      <c r="I335" t="inlineStr">
        <is>
          <t>20250814004439</t>
        </is>
      </c>
      <c r="J335" s="7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6" t="n">
        <v>0</v>
      </c>
      <c r="F336" t="inlineStr">
        <is>
          <t>zero_default</t>
        </is>
      </c>
      <c r="I336" t="inlineStr">
        <is>
          <t>20260814004197</t>
        </is>
      </c>
      <c r="J336" s="7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6" t="n">
        <v>0</v>
      </c>
      <c r="F337" t="inlineStr"/>
      <c r="I337" t="inlineStr">
        <is>
          <t>20250814004439</t>
        </is>
      </c>
      <c r="J337" s="7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6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7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6" t="n">
        <v>218602597</v>
      </c>
      <c r="F339" t="inlineStr"/>
      <c r="I339" t="inlineStr">
        <is>
          <t>20250321001376</t>
        </is>
      </c>
      <c r="J339" s="7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6" t="n">
        <v>218602597</v>
      </c>
      <c r="F340" t="inlineStr"/>
      <c r="I340" t="inlineStr">
        <is>
          <t>20250321001376</t>
        </is>
      </c>
      <c r="J340" s="7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6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7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6" t="n">
        <v>218602597</v>
      </c>
      <c r="F342" t="inlineStr"/>
      <c r="I342" t="inlineStr">
        <is>
          <t>20250321001376</t>
        </is>
      </c>
      <c r="J342" s="7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6" t="n">
        <v>218602597</v>
      </c>
      <c r="F343" t="inlineStr"/>
      <c r="I343" t="inlineStr">
        <is>
          <t>20250321001376</t>
        </is>
      </c>
      <c r="J343" s="7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6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7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6" t="n">
        <v>0</v>
      </c>
      <c r="F345" t="inlineStr"/>
      <c r="I345" t="inlineStr">
        <is>
          <t>20250321001376</t>
        </is>
      </c>
      <c r="J345" s="7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6" t="n">
        <v>0</v>
      </c>
      <c r="F346" t="inlineStr"/>
      <c r="I346" t="inlineStr">
        <is>
          <t>20250321001376</t>
        </is>
      </c>
      <c r="J346" s="7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6" t="n"/>
      <c r="F347" t="inlineStr">
        <is>
          <t>none</t>
        </is>
      </c>
      <c r="I347" t="inlineStr">
        <is>
          <t>20260319000961</t>
        </is>
      </c>
      <c r="J347" s="7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6" t="n"/>
      <c r="F348" t="inlineStr"/>
      <c r="I348" t="inlineStr">
        <is>
          <t>20250321001376</t>
        </is>
      </c>
      <c r="J348" s="7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6" t="n"/>
      <c r="F349" t="inlineStr"/>
      <c r="I349" t="inlineStr">
        <is>
          <t>20250321001376</t>
        </is>
      </c>
      <c r="J349" s="7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6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7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6" t="n">
        <v>-64213879</v>
      </c>
      <c r="F351" t="inlineStr"/>
      <c r="I351" t="inlineStr">
        <is>
          <t>20250321001376</t>
        </is>
      </c>
      <c r="J351" s="7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6" t="n">
        <v>-64213879</v>
      </c>
      <c r="F352" t="inlineStr"/>
      <c r="I352" t="inlineStr">
        <is>
          <t>20250321001376</t>
        </is>
      </c>
      <c r="J352" s="7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6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7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6" t="n">
        <v>-55097036</v>
      </c>
      <c r="F354" t="inlineStr"/>
      <c r="I354" t="inlineStr">
        <is>
          <t>20250321001376</t>
        </is>
      </c>
      <c r="J354" s="7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6" t="n">
        <v>-55097036</v>
      </c>
      <c r="F355" t="inlineStr"/>
      <c r="I355" t="inlineStr">
        <is>
          <t>20250321001376</t>
        </is>
      </c>
      <c r="J355" s="7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6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7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6" t="n">
        <v>10229030046</v>
      </c>
      <c r="F357" t="inlineStr"/>
      <c r="I357" t="inlineStr">
        <is>
          <t>20250321001376</t>
        </is>
      </c>
      <c r="J357" s="7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6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7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6" t="n">
        <v>12229529128</v>
      </c>
      <c r="F359" t="inlineStr"/>
      <c r="I359" t="inlineStr">
        <is>
          <t>20250321001376</t>
        </is>
      </c>
      <c r="J359" s="7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6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7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6" t="n">
        <v>1916561879</v>
      </c>
      <c r="F361" t="inlineStr"/>
      <c r="I361" t="inlineStr">
        <is>
          <t>20250321001376</t>
        </is>
      </c>
      <c r="J361" s="7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6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7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6" t="n">
        <v>2272095906</v>
      </c>
      <c r="F363" t="inlineStr"/>
      <c r="I363" t="inlineStr">
        <is>
          <t>20250321001376</t>
        </is>
      </c>
      <c r="J363" s="7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6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7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6" t="n">
        <v>9797748375</v>
      </c>
      <c r="F365" t="inlineStr"/>
      <c r="I365" t="inlineStr">
        <is>
          <t>20250321001376</t>
        </is>
      </c>
      <c r="J365" s="7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6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7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6" t="n">
        <v>10967344155</v>
      </c>
      <c r="F367" t="inlineStr"/>
      <c r="I367" t="inlineStr">
        <is>
          <t>20250314001717</t>
        </is>
      </c>
      <c r="J367" s="7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6" t="n">
        <v>6832237659</v>
      </c>
      <c r="F368" t="inlineStr"/>
      <c r="I368" t="inlineStr">
        <is>
          <t>20241114002821</t>
        </is>
      </c>
      <c r="J368" s="7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6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7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6" t="n">
        <v>11410828358</v>
      </c>
      <c r="F370" t="inlineStr"/>
      <c r="I370" t="inlineStr">
        <is>
          <t>20250314001717</t>
        </is>
      </c>
      <c r="J370" s="7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6" t="n">
        <v>7269747872</v>
      </c>
      <c r="F371" t="inlineStr"/>
      <c r="I371" t="inlineStr">
        <is>
          <t>20241114002821</t>
        </is>
      </c>
      <c r="J371" s="7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6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7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6" t="n">
        <v>1008676692070</v>
      </c>
      <c r="F373" t="inlineStr"/>
      <c r="I373" t="inlineStr">
        <is>
          <t>20250314001717</t>
        </is>
      </c>
      <c r="J373" s="7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6" t="n">
        <v>752696198238</v>
      </c>
      <c r="F374" t="inlineStr"/>
      <c r="I374" t="inlineStr">
        <is>
          <t>20241114002821</t>
        </is>
      </c>
      <c r="J374" s="7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6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7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6" t="n">
        <v>70420743470</v>
      </c>
      <c r="F376" t="inlineStr"/>
      <c r="I376" t="inlineStr">
        <is>
          <t>20250314001717</t>
        </is>
      </c>
      <c r="J376" s="7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6" t="n">
        <v>51186942108</v>
      </c>
      <c r="F377" t="inlineStr"/>
      <c r="I377" t="inlineStr">
        <is>
          <t>20241114002821</t>
        </is>
      </c>
      <c r="J377" s="7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6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7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6" t="n">
        <v>22956958016</v>
      </c>
      <c r="F379" t="inlineStr"/>
      <c r="I379" t="inlineStr">
        <is>
          <t>20250314001717</t>
        </is>
      </c>
      <c r="J379" s="7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6" t="n">
        <v>16326523497</v>
      </c>
      <c r="F380" t="inlineStr"/>
      <c r="I380" t="inlineStr">
        <is>
          <t>20241114002821</t>
        </is>
      </c>
      <c r="J380" s="7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6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7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6" t="n">
        <v>37177934554</v>
      </c>
      <c r="F382" t="inlineStr"/>
      <c r="I382" t="inlineStr">
        <is>
          <t>20250314001717</t>
        </is>
      </c>
      <c r="J382" s="7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6" t="n">
        <v>3298481730</v>
      </c>
      <c r="F383" t="inlineStr"/>
      <c r="I383" t="inlineStr">
        <is>
          <t>20241114002821</t>
        </is>
      </c>
      <c r="J383" s="7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6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7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6" t="n">
        <v>326339033895</v>
      </c>
      <c r="F385" t="inlineStr"/>
      <c r="I385" t="inlineStr">
        <is>
          <t>20241114002821</t>
        </is>
      </c>
      <c r="J385" s="7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6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7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6" t="n">
        <v>667926700116</v>
      </c>
      <c r="F387" t="inlineStr"/>
      <c r="I387" t="inlineStr">
        <is>
          <t>20241114002821</t>
        </is>
      </c>
      <c r="J387" s="7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6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7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6" t="n">
        <v>216383298440</v>
      </c>
      <c r="F389" t="inlineStr"/>
      <c r="I389" t="inlineStr">
        <is>
          <t>20241114002821</t>
        </is>
      </c>
      <c r="J389" s="7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6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7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6" t="n">
        <v>9015350588</v>
      </c>
      <c r="F391" t="inlineStr"/>
      <c r="I391" t="inlineStr">
        <is>
          <t>20241114002821</t>
        </is>
      </c>
      <c r="J391" s="7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6" t="n">
        <v>0</v>
      </c>
      <c r="F392" t="inlineStr">
        <is>
          <t>zero_default</t>
        </is>
      </c>
      <c r="I392" t="inlineStr">
        <is>
          <t>20251114002977</t>
        </is>
      </c>
      <c r="J392" s="7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6" t="n">
        <v>0</v>
      </c>
      <c r="F393" t="inlineStr"/>
      <c r="I393" t="inlineStr">
        <is>
          <t>20241114002821</t>
        </is>
      </c>
      <c r="J393" s="7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6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7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6" t="n">
        <v>-4645964740</v>
      </c>
      <c r="F395" t="inlineStr"/>
      <c r="I395" t="inlineStr">
        <is>
          <t>20260320001093</t>
        </is>
      </c>
      <c r="J395" s="7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6" t="n">
        <v>89252311</v>
      </c>
      <c r="F396" t="inlineStr"/>
      <c r="I396" t="inlineStr">
        <is>
          <t>20250814004213</t>
        </is>
      </c>
      <c r="J396" s="7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6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7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6" t="n">
        <v>-4645964740</v>
      </c>
      <c r="F398" t="inlineStr"/>
      <c r="I398" t="inlineStr">
        <is>
          <t>20260320001093</t>
        </is>
      </c>
      <c r="J398" s="7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6" t="n">
        <v>89252311</v>
      </c>
      <c r="F399" t="inlineStr"/>
      <c r="I399" t="inlineStr">
        <is>
          <t>20250814004213</t>
        </is>
      </c>
      <c r="J399" s="7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6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7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6" t="n">
        <v>50919669504</v>
      </c>
      <c r="F401" t="inlineStr"/>
      <c r="I401" t="inlineStr">
        <is>
          <t>20260320001093</t>
        </is>
      </c>
      <c r="J401" s="7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6" t="n">
        <v>25811866461</v>
      </c>
      <c r="F402" t="inlineStr"/>
      <c r="I402" t="inlineStr">
        <is>
          <t>20250814004213</t>
        </is>
      </c>
      <c r="J402" s="7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6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7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6" t="n">
        <v>7221644921</v>
      </c>
      <c r="F404" t="inlineStr"/>
      <c r="I404" t="inlineStr">
        <is>
          <t>20260320001093</t>
        </is>
      </c>
      <c r="J404" s="7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6" t="n">
        <v>3131530313</v>
      </c>
      <c r="F405" t="inlineStr"/>
      <c r="I405" t="inlineStr">
        <is>
          <t>20250814004213</t>
        </is>
      </c>
      <c r="J405" s="7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6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7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6" t="n">
        <v>-1720450576</v>
      </c>
      <c r="F407" t="inlineStr"/>
      <c r="I407" t="inlineStr">
        <is>
          <t>20260320001093</t>
        </is>
      </c>
      <c r="J407" s="7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6" t="n">
        <v>-1144457906</v>
      </c>
      <c r="F408" t="inlineStr"/>
      <c r="I408" t="inlineStr">
        <is>
          <t>20250814004213</t>
        </is>
      </c>
      <c r="J408" s="7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6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7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6" t="n">
        <v>-2128493654</v>
      </c>
      <c r="F410" t="inlineStr"/>
      <c r="I410" t="inlineStr">
        <is>
          <t>20260320001093</t>
        </is>
      </c>
      <c r="J410" s="7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6" t="n">
        <v>-535274535</v>
      </c>
      <c r="F411" t="inlineStr"/>
      <c r="I411" t="inlineStr">
        <is>
          <t>20250814004213</t>
        </is>
      </c>
      <c r="J411" s="7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6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7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6" t="n">
        <v>56797380269</v>
      </c>
      <c r="F413" t="inlineStr"/>
      <c r="I413" t="inlineStr">
        <is>
          <t>20250814004213</t>
        </is>
      </c>
      <c r="J413" s="7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6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7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6" t="n">
        <v>59222615141</v>
      </c>
      <c r="F415" t="inlineStr"/>
      <c r="I415" t="inlineStr">
        <is>
          <t>20250814004213</t>
        </is>
      </c>
      <c r="J415" s="7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6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7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6" t="n">
        <v>597663053</v>
      </c>
      <c r="F417" t="inlineStr"/>
      <c r="I417" t="inlineStr">
        <is>
          <t>20250814004213</t>
        </is>
      </c>
      <c r="J417" s="7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6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7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6" t="n">
        <v>2733164415</v>
      </c>
      <c r="F419" t="inlineStr"/>
      <c r="I419" t="inlineStr">
        <is>
          <t>20250814004213</t>
        </is>
      </c>
      <c r="J419" s="7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6" t="n">
        <v>0</v>
      </c>
      <c r="F420" t="inlineStr">
        <is>
          <t>zero_default</t>
        </is>
      </c>
      <c r="I420" t="inlineStr">
        <is>
          <t>20261001000436</t>
        </is>
      </c>
      <c r="J420" s="7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6" t="n">
        <v>0</v>
      </c>
      <c r="F421" t="inlineStr"/>
      <c r="I421" t="inlineStr">
        <is>
          <t>20250814004213</t>
        </is>
      </c>
      <c r="J421" s="7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6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7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6" t="n">
        <v>-30204179171</v>
      </c>
      <c r="F423" t="inlineStr"/>
      <c r="I423" t="inlineStr">
        <is>
          <t>20260407002435</t>
        </is>
      </c>
      <c r="J423" s="7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6" t="n">
        <v>-19703292955</v>
      </c>
      <c r="F424" t="inlineStr"/>
      <c r="I424" t="inlineStr">
        <is>
          <t>20250814001655</t>
        </is>
      </c>
      <c r="J424" s="7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6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7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6" t="n">
        <v>-30204179171</v>
      </c>
      <c r="F426" t="inlineStr"/>
      <c r="I426" t="inlineStr">
        <is>
          <t>20260407002435</t>
        </is>
      </c>
      <c r="J426" s="7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6" t="n">
        <v>-19703292955</v>
      </c>
      <c r="F427" t="inlineStr"/>
      <c r="I427" t="inlineStr">
        <is>
          <t>20250814001655</t>
        </is>
      </c>
      <c r="J427" s="7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6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7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6" t="n">
        <v>7211902064</v>
      </c>
      <c r="F429" t="inlineStr"/>
      <c r="I429" t="inlineStr">
        <is>
          <t>20260407002435</t>
        </is>
      </c>
      <c r="J429" s="7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6" t="n">
        <v>3487501944</v>
      </c>
      <c r="F430" t="inlineStr"/>
      <c r="I430" t="inlineStr">
        <is>
          <t>20250814001655</t>
        </is>
      </c>
      <c r="J430" s="7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6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7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6" t="n">
        <v>3586087178</v>
      </c>
      <c r="F432" t="inlineStr"/>
      <c r="I432" t="inlineStr">
        <is>
          <t>20260407002435</t>
        </is>
      </c>
      <c r="J432" s="7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6" t="n">
        <v>1652379912</v>
      </c>
      <c r="F433" t="inlineStr"/>
      <c r="I433" t="inlineStr">
        <is>
          <t>20250814001655</t>
        </is>
      </c>
      <c r="J433" s="7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6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7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6" t="n">
        <v>-6078614066</v>
      </c>
      <c r="F435" t="inlineStr"/>
      <c r="I435" t="inlineStr">
        <is>
          <t>20260407002435</t>
        </is>
      </c>
      <c r="J435" s="7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6" t="n">
        <v>-2749394883</v>
      </c>
      <c r="F436" t="inlineStr"/>
      <c r="I436" t="inlineStr">
        <is>
          <t>20250814001655</t>
        </is>
      </c>
      <c r="J436" s="7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6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7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6" t="n">
        <v>-11261287301</v>
      </c>
      <c r="F438" t="inlineStr"/>
      <c r="I438" t="inlineStr">
        <is>
          <t>20260407002435</t>
        </is>
      </c>
      <c r="J438" s="7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6" t="n">
        <v>-9377985259</v>
      </c>
      <c r="F439" t="inlineStr"/>
      <c r="I439" t="inlineStr">
        <is>
          <t>20250814001655</t>
        </is>
      </c>
      <c r="J439" s="7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6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7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6" t="n">
        <v>77196847591</v>
      </c>
      <c r="F441" t="inlineStr"/>
      <c r="I441" t="inlineStr">
        <is>
          <t>20250814001655</t>
        </is>
      </c>
      <c r="J441" s="7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6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7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6" t="n">
        <v>81169554451</v>
      </c>
      <c r="F443" t="inlineStr"/>
      <c r="I443" t="inlineStr">
        <is>
          <t>20250814001655</t>
        </is>
      </c>
      <c r="J443" s="7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6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7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6" t="n">
        <v>2815857511</v>
      </c>
      <c r="F445" t="inlineStr"/>
      <c r="I445" t="inlineStr">
        <is>
          <t>20250814001655</t>
        </is>
      </c>
      <c r="J445" s="7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6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7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6" t="n">
        <v>8873205356</v>
      </c>
      <c r="F447" t="inlineStr"/>
      <c r="I447" t="inlineStr">
        <is>
          <t>20250814001655</t>
        </is>
      </c>
      <c r="J447" s="7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6" t="n">
        <v>0</v>
      </c>
      <c r="F448" t="inlineStr">
        <is>
          <t>zero_default</t>
        </is>
      </c>
      <c r="I448" t="inlineStr">
        <is>
          <t>20260814004242</t>
        </is>
      </c>
      <c r="J448" s="7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6" t="n">
        <v>0</v>
      </c>
      <c r="F449" t="inlineStr"/>
      <c r="I449" t="inlineStr">
        <is>
          <t>20250814001655</t>
        </is>
      </c>
      <c r="J449" s="7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6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7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6" t="n">
        <v>-192738194</v>
      </c>
      <c r="F451" t="inlineStr"/>
      <c r="I451" t="inlineStr">
        <is>
          <t>20260311003760</t>
        </is>
      </c>
      <c r="J451" s="7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6" t="n">
        <v>944061172</v>
      </c>
      <c r="F452" t="inlineStr"/>
      <c r="I452" t="inlineStr">
        <is>
          <t>20250814000974</t>
        </is>
      </c>
      <c r="J452" s="7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6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7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6" t="n">
        <v>-192738194</v>
      </c>
      <c r="F454" t="inlineStr"/>
      <c r="I454" t="inlineStr">
        <is>
          <t>20260311003760</t>
        </is>
      </c>
      <c r="J454" s="7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6" t="n">
        <v>944061172</v>
      </c>
      <c r="F455" t="inlineStr"/>
      <c r="I455" t="inlineStr">
        <is>
          <t>20250814000974</t>
        </is>
      </c>
      <c r="J455" s="7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6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7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6" t="n">
        <v>19678962044</v>
      </c>
      <c r="F457" t="inlineStr"/>
      <c r="I457" t="inlineStr">
        <is>
          <t>20260311003760</t>
        </is>
      </c>
      <c r="J457" s="7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6" t="n">
        <v>11145177099</v>
      </c>
      <c r="F458" t="inlineStr"/>
      <c r="I458" t="inlineStr">
        <is>
          <t>20250814000974</t>
        </is>
      </c>
      <c r="J458" s="7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6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7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6" t="n">
        <v>7490087612</v>
      </c>
      <c r="F460" t="inlineStr"/>
      <c r="I460" t="inlineStr">
        <is>
          <t>20260311003760</t>
        </is>
      </c>
      <c r="J460" s="7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6" t="n">
        <v>4652881430</v>
      </c>
      <c r="F461" t="inlineStr"/>
      <c r="I461" t="inlineStr">
        <is>
          <t>20250814000974</t>
        </is>
      </c>
      <c r="J461" s="7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6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7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6" t="n">
        <v>1403074063</v>
      </c>
      <c r="F463" t="inlineStr"/>
      <c r="I463" t="inlineStr">
        <is>
          <t>20260311003760</t>
        </is>
      </c>
      <c r="J463" s="7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6" t="n">
        <v>1418462945</v>
      </c>
      <c r="F464" t="inlineStr"/>
      <c r="I464" t="inlineStr">
        <is>
          <t>20250814000974</t>
        </is>
      </c>
      <c r="J464" s="7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6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7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6" t="n">
        <v>3950289717</v>
      </c>
      <c r="F466" t="inlineStr"/>
      <c r="I466" t="inlineStr">
        <is>
          <t>20260311003760</t>
        </is>
      </c>
      <c r="J466" s="7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6" t="n">
        <v>3228062267</v>
      </c>
      <c r="F467" t="inlineStr"/>
      <c r="I467" t="inlineStr">
        <is>
          <t>20250814000974</t>
        </is>
      </c>
      <c r="J467" s="7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6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7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6" t="n">
        <v>47661578613</v>
      </c>
      <c r="F469" t="inlineStr"/>
      <c r="I469" t="inlineStr">
        <is>
          <t>20250814000974</t>
        </is>
      </c>
      <c r="J469" s="7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6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7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6" t="n">
        <v>63832771470</v>
      </c>
      <c r="F471" t="inlineStr"/>
      <c r="I471" t="inlineStr">
        <is>
          <t>20250814000974</t>
        </is>
      </c>
      <c r="J471" s="7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6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7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6" t="n">
        <v>261642359</v>
      </c>
      <c r="F473" t="inlineStr"/>
      <c r="I473" t="inlineStr">
        <is>
          <t>20250814000974</t>
        </is>
      </c>
      <c r="J473" s="7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6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7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6" t="n">
        <v>5995569193</v>
      </c>
      <c r="F475" t="inlineStr"/>
      <c r="I475" t="inlineStr">
        <is>
          <t>20250814000974</t>
        </is>
      </c>
      <c r="J475" s="7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6" t="n">
        <v>0</v>
      </c>
      <c r="F476" t="inlineStr">
        <is>
          <t>zero_default</t>
        </is>
      </c>
      <c r="I476" t="inlineStr">
        <is>
          <t>20260814001247</t>
        </is>
      </c>
      <c r="J476" s="7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6" t="n">
        <v>0</v>
      </c>
      <c r="F477" t="inlineStr"/>
      <c r="I477" t="inlineStr">
        <is>
          <t>20250814000974</t>
        </is>
      </c>
      <c r="J477" s="7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6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7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6" t="n">
        <v>-170330530390</v>
      </c>
      <c r="F479" t="inlineStr"/>
      <c r="I479" t="inlineStr">
        <is>
          <t>20260320000881</t>
        </is>
      </c>
      <c r="J479" s="7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6" t="n">
        <v>-109906842990</v>
      </c>
      <c r="F480" t="inlineStr"/>
      <c r="I480" t="inlineStr">
        <is>
          <t>20250813001398</t>
        </is>
      </c>
      <c r="J480" s="7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6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7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6" t="n">
        <v>-168296872201</v>
      </c>
      <c r="F482" t="inlineStr"/>
      <c r="I482" t="inlineStr">
        <is>
          <t>20260320000881</t>
        </is>
      </c>
      <c r="J482" s="7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6" t="n">
        <v>-109943034717</v>
      </c>
      <c r="F483" t="inlineStr"/>
      <c r="I483" t="inlineStr">
        <is>
          <t>20250813001398</t>
        </is>
      </c>
      <c r="J483" s="7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6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7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6" t="n">
        <v>73226140158</v>
      </c>
      <c r="F485" t="inlineStr"/>
      <c r="I485" t="inlineStr">
        <is>
          <t>20260320000881</t>
        </is>
      </c>
      <c r="J485" s="7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6" t="n">
        <v>31744140230</v>
      </c>
      <c r="F486" t="inlineStr"/>
      <c r="I486" t="inlineStr">
        <is>
          <t>20250813001398</t>
        </is>
      </c>
      <c r="J486" s="7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6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7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6" t="n">
        <v>-27031797009</v>
      </c>
      <c r="F488" t="inlineStr"/>
      <c r="I488" t="inlineStr">
        <is>
          <t>20260320000881</t>
        </is>
      </c>
      <c r="J488" s="7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6" t="n">
        <v>-17728748304</v>
      </c>
      <c r="F489" t="inlineStr"/>
      <c r="I489" t="inlineStr">
        <is>
          <t>20250813001398</t>
        </is>
      </c>
      <c r="J489" s="7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6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7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6" t="n">
        <v>-60354664385</v>
      </c>
      <c r="F491" t="inlineStr"/>
      <c r="I491" t="inlineStr">
        <is>
          <t>20260320000881</t>
        </is>
      </c>
      <c r="J491" s="7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6" t="n">
        <v>-33689259920</v>
      </c>
      <c r="F492" t="inlineStr"/>
      <c r="I492" t="inlineStr">
        <is>
          <t>20250813001398</t>
        </is>
      </c>
      <c r="J492" s="7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6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7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6" t="n">
        <v>-38232646549</v>
      </c>
      <c r="F494" t="inlineStr"/>
      <c r="I494" t="inlineStr">
        <is>
          <t>20260320000881</t>
        </is>
      </c>
      <c r="J494" s="7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6" t="n">
        <v>-21725749483</v>
      </c>
      <c r="F495" t="inlineStr"/>
      <c r="I495" t="inlineStr">
        <is>
          <t>20250813001398</t>
        </is>
      </c>
      <c r="J495" s="7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6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7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6" t="n">
        <v>267735466551</v>
      </c>
      <c r="F497" t="inlineStr"/>
      <c r="I497" t="inlineStr">
        <is>
          <t>20250813001398</t>
        </is>
      </c>
      <c r="J497" s="7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6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7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6" t="n">
        <v>600065401483</v>
      </c>
      <c r="F499" t="inlineStr"/>
      <c r="I499" t="inlineStr">
        <is>
          <t>20250813001398</t>
        </is>
      </c>
      <c r="J499" s="7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6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7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6" t="n">
        <v>161457373663</v>
      </c>
      <c r="F501" t="inlineStr"/>
      <c r="I501" t="inlineStr">
        <is>
          <t>20250813001398</t>
        </is>
      </c>
      <c r="J501" s="7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6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7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6" t="n">
        <v>25732454114</v>
      </c>
      <c r="F503" t="inlineStr"/>
      <c r="I503" t="inlineStr">
        <is>
          <t>20250813001398</t>
        </is>
      </c>
      <c r="J503" s="7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6" t="n">
        <v>0</v>
      </c>
      <c r="F504" t="inlineStr">
        <is>
          <t>zero_default</t>
        </is>
      </c>
      <c r="I504" t="inlineStr">
        <is>
          <t>20260813001428</t>
        </is>
      </c>
      <c r="J504" s="7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6" t="n">
        <v>0</v>
      </c>
      <c r="F505" t="inlineStr"/>
      <c r="I505" t="inlineStr">
        <is>
          <t>20250813001398</t>
        </is>
      </c>
      <c r="J505" s="7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6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7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6" t="n">
        <v>-64493456226</v>
      </c>
      <c r="F507" t="inlineStr"/>
      <c r="I507" t="inlineStr">
        <is>
          <t>20260311004333</t>
        </is>
      </c>
      <c r="J507" s="7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6" t="n">
        <v>-4053504027</v>
      </c>
      <c r="F508" t="inlineStr"/>
      <c r="I508" t="inlineStr">
        <is>
          <t>20250904000348</t>
        </is>
      </c>
      <c r="J508" s="7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6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7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6" t="n">
        <v>-74826698792</v>
      </c>
      <c r="F510" t="inlineStr"/>
      <c r="I510" t="inlineStr">
        <is>
          <t>20260311004333</t>
        </is>
      </c>
      <c r="J510" s="7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6" t="n">
        <v>-7872574128</v>
      </c>
      <c r="F511" t="inlineStr"/>
      <c r="I511" t="inlineStr">
        <is>
          <t>20250904000348</t>
        </is>
      </c>
      <c r="J511" s="7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6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7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6" t="n">
        <v>1342032374780</v>
      </c>
      <c r="F513" t="inlineStr"/>
      <c r="I513" t="inlineStr">
        <is>
          <t>20260311004333</t>
        </is>
      </c>
      <c r="J513" s="7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6" t="n">
        <v>665992946135</v>
      </c>
      <c r="F514" t="inlineStr"/>
      <c r="I514" t="inlineStr">
        <is>
          <t>20250904000348</t>
        </is>
      </c>
      <c r="J514" s="7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6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7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6" t="n">
        <v>107852858090</v>
      </c>
      <c r="F516" t="inlineStr"/>
      <c r="I516" t="inlineStr">
        <is>
          <t>20260311004333</t>
        </is>
      </c>
      <c r="J516" s="7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6" t="n">
        <v>53815087074</v>
      </c>
      <c r="F517" t="inlineStr"/>
      <c r="I517" t="inlineStr">
        <is>
          <t>20250904000348</t>
        </is>
      </c>
      <c r="J517" s="7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6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7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6" t="n">
        <v>52749511611</v>
      </c>
      <c r="F519" t="inlineStr"/>
      <c r="I519" t="inlineStr">
        <is>
          <t>20260311004333</t>
        </is>
      </c>
      <c r="J519" s="7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6" t="n">
        <v>26515441473</v>
      </c>
      <c r="F520" t="inlineStr"/>
      <c r="I520" t="inlineStr">
        <is>
          <t>20250904000348</t>
        </is>
      </c>
      <c r="J520" s="7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6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7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6" t="n">
        <v>-89784974912</v>
      </c>
      <c r="F522" t="inlineStr"/>
      <c r="I522" t="inlineStr">
        <is>
          <t>20260311004333</t>
        </is>
      </c>
      <c r="J522" s="7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6" t="n">
        <v>-100769029395</v>
      </c>
      <c r="F523" t="inlineStr"/>
      <c r="I523" t="inlineStr">
        <is>
          <t>20250904000348</t>
        </is>
      </c>
      <c r="J523" s="7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6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7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6" t="n">
        <v>426004692851</v>
      </c>
      <c r="F525" t="inlineStr"/>
      <c r="I525" t="inlineStr">
        <is>
          <t>20250904000348</t>
        </is>
      </c>
      <c r="J525" s="7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6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7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6" t="n">
        <v>1315063409627</v>
      </c>
      <c r="F527" t="inlineStr"/>
      <c r="I527" t="inlineStr">
        <is>
          <t>20250904000348</t>
        </is>
      </c>
      <c r="J527" s="7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6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7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6" t="n">
        <v>548275378392</v>
      </c>
      <c r="F529" t="inlineStr"/>
      <c r="I529" t="inlineStr">
        <is>
          <t>20250904000348</t>
        </is>
      </c>
      <c r="J529" s="7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6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7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6" t="n">
        <v>78113820317</v>
      </c>
      <c r="F531" t="inlineStr"/>
      <c r="I531" t="inlineStr">
        <is>
          <t>20250904000348</t>
        </is>
      </c>
      <c r="J531" s="7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6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7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6" t="n">
        <v>3032074000</v>
      </c>
      <c r="F533" t="inlineStr"/>
      <c r="I533" t="inlineStr">
        <is>
          <t>20250904000348</t>
        </is>
      </c>
      <c r="J533" s="7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6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7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6" t="n">
        <v>-3016864876</v>
      </c>
      <c r="F535" t="inlineStr"/>
      <c r="I535" t="inlineStr">
        <is>
          <t>20260323000880</t>
        </is>
      </c>
      <c r="J535" s="7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6" t="n">
        <v>-3195502420</v>
      </c>
      <c r="F536" t="inlineStr"/>
      <c r="I536" t="inlineStr">
        <is>
          <t>20250822000276</t>
        </is>
      </c>
      <c r="J536" s="7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6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7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6" t="n">
        <v>-3016864876</v>
      </c>
      <c r="F538" t="inlineStr"/>
      <c r="I538" t="inlineStr">
        <is>
          <t>20260323000880</t>
        </is>
      </c>
      <c r="J538" s="7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6" t="n">
        <v>-3195502420</v>
      </c>
      <c r="F539" t="inlineStr"/>
      <c r="I539" t="inlineStr">
        <is>
          <t>20250822000276</t>
        </is>
      </c>
      <c r="J539" s="7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6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7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6" t="n">
        <v>70744057088</v>
      </c>
      <c r="F541" t="inlineStr"/>
      <c r="I541" t="inlineStr">
        <is>
          <t>20260323000880</t>
        </is>
      </c>
      <c r="J541" s="7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6" t="n">
        <v>29042658789</v>
      </c>
      <c r="F542" t="inlineStr"/>
      <c r="I542" t="inlineStr">
        <is>
          <t>20250822000276</t>
        </is>
      </c>
      <c r="J542" s="7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6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7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6" t="n">
        <v>28178148564</v>
      </c>
      <c r="F544" t="inlineStr"/>
      <c r="I544" t="inlineStr">
        <is>
          <t>20260323000880</t>
        </is>
      </c>
      <c r="J544" s="7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6" t="n">
        <v>12340485206</v>
      </c>
      <c r="F545" t="inlineStr"/>
      <c r="I545" t="inlineStr">
        <is>
          <t>20250822000276</t>
        </is>
      </c>
      <c r="J545" s="7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6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7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6" t="n">
        <v>-2896673174</v>
      </c>
      <c r="F547" t="inlineStr"/>
      <c r="I547" t="inlineStr">
        <is>
          <t>20260323000880</t>
        </is>
      </c>
      <c r="J547" s="7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6" t="n">
        <v>-3275943585</v>
      </c>
      <c r="F548" t="inlineStr"/>
      <c r="I548" t="inlineStr">
        <is>
          <t>20250822000276</t>
        </is>
      </c>
      <c r="J548" s="7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6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7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6" t="n">
        <v>-4331276242</v>
      </c>
      <c r="F550" t="inlineStr"/>
      <c r="I550" t="inlineStr">
        <is>
          <t>20260323000880</t>
        </is>
      </c>
      <c r="J550" s="7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6" t="n">
        <v>-4021551047</v>
      </c>
      <c r="F551" t="inlineStr"/>
      <c r="I551" t="inlineStr">
        <is>
          <t>20250822000276</t>
        </is>
      </c>
      <c r="J551" s="7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6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7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6" t="n">
        <v>34063990681</v>
      </c>
      <c r="F553" t="inlineStr"/>
      <c r="I553" t="inlineStr">
        <is>
          <t>20250822000276</t>
        </is>
      </c>
      <c r="J553" s="7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6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7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6" t="n">
        <v>77086244181</v>
      </c>
      <c r="F555" t="inlineStr"/>
      <c r="I555" t="inlineStr">
        <is>
          <t>20250822000276</t>
        </is>
      </c>
      <c r="J555" s="7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6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7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6" t="n">
        <v>21492336508</v>
      </c>
      <c r="F557" t="inlineStr"/>
      <c r="I557" t="inlineStr">
        <is>
          <t>20250822000276</t>
        </is>
      </c>
      <c r="J557" s="7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6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7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6" t="n">
        <v>16851760850</v>
      </c>
      <c r="F559" t="inlineStr"/>
      <c r="I559" t="inlineStr">
        <is>
          <t>20250822000276</t>
        </is>
      </c>
      <c r="J559" s="7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6" t="n">
        <v>0</v>
      </c>
      <c r="F560" t="inlineStr">
        <is>
          <t>zero_default</t>
        </is>
      </c>
      <c r="I560" t="inlineStr">
        <is>
          <t>20260814003183</t>
        </is>
      </c>
      <c r="J560" s="7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6" t="n">
        <v>0</v>
      </c>
      <c r="F561" t="inlineStr"/>
      <c r="I561" t="inlineStr">
        <is>
          <t>20250822000276</t>
        </is>
      </c>
      <c r="J561" s="7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6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7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6" t="n">
        <v>497100618</v>
      </c>
      <c r="F563" t="inlineStr"/>
      <c r="I563" t="inlineStr">
        <is>
          <t>20260316001301</t>
        </is>
      </c>
      <c r="J563" s="7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6" t="n">
        <v>1094158145</v>
      </c>
      <c r="F564" t="inlineStr"/>
      <c r="I564" t="inlineStr">
        <is>
          <t>20250814002539</t>
        </is>
      </c>
      <c r="J564" s="7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6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7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6" t="n">
        <v>497100618</v>
      </c>
      <c r="F566" t="inlineStr"/>
      <c r="I566" t="inlineStr">
        <is>
          <t>20260316001301</t>
        </is>
      </c>
      <c r="J566" s="7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6" t="n">
        <v>1094158145</v>
      </c>
      <c r="F567" t="inlineStr"/>
      <c r="I567" t="inlineStr">
        <is>
          <t>20250814002539</t>
        </is>
      </c>
      <c r="J567" s="7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6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7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6" t="n">
        <v>122140313384</v>
      </c>
      <c r="F569" t="inlineStr"/>
      <c r="I569" t="inlineStr">
        <is>
          <t>20260316001301</t>
        </is>
      </c>
      <c r="J569" s="7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6" t="n">
        <v>60210779073</v>
      </c>
      <c r="F570" t="inlineStr"/>
      <c r="I570" t="inlineStr">
        <is>
          <t>20250814002539</t>
        </is>
      </c>
      <c r="J570" s="7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6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7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6" t="n">
        <v>29663072385</v>
      </c>
      <c r="F572" t="inlineStr"/>
      <c r="I572" t="inlineStr">
        <is>
          <t>20260316001301</t>
        </is>
      </c>
      <c r="J572" s="7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6" t="n">
        <v>13796457475</v>
      </c>
      <c r="F573" t="inlineStr"/>
      <c r="I573" t="inlineStr">
        <is>
          <t>20250814002539</t>
        </is>
      </c>
      <c r="J573" s="7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6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7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6" t="n">
        <v>5321549322</v>
      </c>
      <c r="F575" t="inlineStr"/>
      <c r="I575" t="inlineStr">
        <is>
          <t>20260316001301</t>
        </is>
      </c>
      <c r="J575" s="7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6" t="n">
        <v>2821486335</v>
      </c>
      <c r="F576" t="inlineStr"/>
      <c r="I576" t="inlineStr">
        <is>
          <t>20250814002539</t>
        </is>
      </c>
      <c r="J576" s="7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6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7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6" t="n">
        <v>11384009671</v>
      </c>
      <c r="F578" t="inlineStr"/>
      <c r="I578" t="inlineStr">
        <is>
          <t>20260316001301</t>
        </is>
      </c>
      <c r="J578" s="7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6" t="n">
        <v>5396929741</v>
      </c>
      <c r="F579" t="inlineStr"/>
      <c r="I579" t="inlineStr">
        <is>
          <t>20250814002539</t>
        </is>
      </c>
      <c r="J579" s="7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6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7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6" t="n">
        <v>42502521196</v>
      </c>
      <c r="F581" t="inlineStr"/>
      <c r="I581" t="inlineStr">
        <is>
          <t>20250814002539</t>
        </is>
      </c>
      <c r="J581" s="7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6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7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6" t="n">
        <v>146033056367</v>
      </c>
      <c r="F583" t="inlineStr"/>
      <c r="I583" t="inlineStr">
        <is>
          <t>20250814002539</t>
        </is>
      </c>
      <c r="J583" s="7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6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7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6" t="n">
        <v>68160200213</v>
      </c>
      <c r="F585" t="inlineStr"/>
      <c r="I585" t="inlineStr">
        <is>
          <t>20250814002539</t>
        </is>
      </c>
      <c r="J585" s="7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6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7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6" t="n">
        <v>19847839079</v>
      </c>
      <c r="F587" t="inlineStr"/>
      <c r="I587" t="inlineStr">
        <is>
          <t>20250814002539</t>
        </is>
      </c>
      <c r="J587" s="7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6" t="n">
        <v>0</v>
      </c>
      <c r="F588" t="inlineStr">
        <is>
          <t>zero_default</t>
        </is>
      </c>
      <c r="I588" t="inlineStr">
        <is>
          <t>20260814002858</t>
        </is>
      </c>
      <c r="J588" s="7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6" t="n">
        <v>0</v>
      </c>
      <c r="F589" t="inlineStr"/>
      <c r="I589" t="inlineStr">
        <is>
          <t>20250814002539</t>
        </is>
      </c>
      <c r="J589" s="7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6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7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6" t="n">
        <v>-872120915</v>
      </c>
      <c r="F591" t="inlineStr"/>
      <c r="I591" t="inlineStr">
        <is>
          <t>20260318000485</t>
        </is>
      </c>
      <c r="J591" s="7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6" t="n">
        <v>-2422887188</v>
      </c>
      <c r="F592" t="inlineStr"/>
      <c r="I592" t="inlineStr">
        <is>
          <t>20250814001480</t>
        </is>
      </c>
      <c r="J592" s="7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6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7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6" t="n">
        <v>-872142430</v>
      </c>
      <c r="F594" t="inlineStr"/>
      <c r="I594" t="inlineStr">
        <is>
          <t>20260318000485</t>
        </is>
      </c>
      <c r="J594" s="7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6" t="n">
        <v>-2422895804</v>
      </c>
      <c r="F595" t="inlineStr"/>
      <c r="I595" t="inlineStr">
        <is>
          <t>20250814001480</t>
        </is>
      </c>
      <c r="J595" s="7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6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7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6" t="n">
        <v>37266321862</v>
      </c>
      <c r="F597" t="inlineStr"/>
      <c r="I597" t="inlineStr">
        <is>
          <t>20260318000485</t>
        </is>
      </c>
      <c r="J597" s="7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6" t="n">
        <v>1276511480</v>
      </c>
      <c r="F598" t="inlineStr"/>
      <c r="I598" t="inlineStr">
        <is>
          <t>20250814001480</t>
        </is>
      </c>
      <c r="J598" s="7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6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7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6" t="n">
        <v>2421253850</v>
      </c>
      <c r="F600" t="inlineStr"/>
      <c r="I600" t="inlineStr">
        <is>
          <t>20260318000485</t>
        </is>
      </c>
      <c r="J600" s="7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6" t="n">
        <v>-1068201584</v>
      </c>
      <c r="F601" t="inlineStr"/>
      <c r="I601" t="inlineStr">
        <is>
          <t>20250814001480</t>
        </is>
      </c>
      <c r="J601" s="7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6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7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6" t="n">
        <v>-1547996543</v>
      </c>
      <c r="F603" t="inlineStr"/>
      <c r="I603" t="inlineStr">
        <is>
          <t>20260318000485</t>
        </is>
      </c>
      <c r="J603" s="7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6" t="n">
        <v>-2678255694</v>
      </c>
      <c r="F604" t="inlineStr"/>
      <c r="I604" t="inlineStr">
        <is>
          <t>20250814001480</t>
        </is>
      </c>
      <c r="J604" s="7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6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7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6" t="n">
        <v>-1185746283</v>
      </c>
      <c r="F606" t="inlineStr"/>
      <c r="I606" t="inlineStr">
        <is>
          <t>20260318000485</t>
        </is>
      </c>
      <c r="J606" s="7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6" t="n">
        <v>-2927028955</v>
      </c>
      <c r="F607" t="inlineStr"/>
      <c r="I607" t="inlineStr">
        <is>
          <t>20250814001480</t>
        </is>
      </c>
      <c r="J607" s="7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6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7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6" t="n">
        <v>56951007815</v>
      </c>
      <c r="F609" t="inlineStr"/>
      <c r="I609" t="inlineStr">
        <is>
          <t>20250814001480</t>
        </is>
      </c>
      <c r="J609" s="7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6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7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6" t="n">
        <v>82049594443</v>
      </c>
      <c r="F611" t="inlineStr"/>
      <c r="I611" t="inlineStr">
        <is>
          <t>20250814001480</t>
        </is>
      </c>
      <c r="J611" s="7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6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7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6" t="n">
        <v>928161694</v>
      </c>
      <c r="F613" t="inlineStr"/>
      <c r="I613" t="inlineStr">
        <is>
          <t>20250814001480</t>
        </is>
      </c>
      <c r="J613" s="7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6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7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6" t="n">
        <v>1260966546</v>
      </c>
      <c r="F615" t="inlineStr"/>
      <c r="I615" t="inlineStr">
        <is>
          <t>20250814001480</t>
        </is>
      </c>
      <c r="J615" s="7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6" t="n">
        <v>0</v>
      </c>
      <c r="F616" t="inlineStr">
        <is>
          <t>zero_default</t>
        </is>
      </c>
      <c r="I616" t="inlineStr">
        <is>
          <t>20260814000691</t>
        </is>
      </c>
      <c r="J616" s="7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6" t="n">
        <v>0</v>
      </c>
      <c r="F617" t="inlineStr"/>
      <c r="I617" t="inlineStr">
        <is>
          <t>20250814001480</t>
        </is>
      </c>
      <c r="J617" s="7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6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7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6" t="n">
        <v>13220969592</v>
      </c>
      <c r="F619" t="inlineStr"/>
      <c r="I619" t="inlineStr">
        <is>
          <t>20260316001329</t>
        </is>
      </c>
      <c r="J619" s="7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6" t="n">
        <v>7079475999</v>
      </c>
      <c r="F620" t="inlineStr"/>
      <c r="I620" t="inlineStr">
        <is>
          <t>20250814003346</t>
        </is>
      </c>
      <c r="J620" s="7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6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7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6" t="n">
        <v>13220969592</v>
      </c>
      <c r="F622" t="inlineStr"/>
      <c r="I622" t="inlineStr">
        <is>
          <t>20260316001329</t>
        </is>
      </c>
      <c r="J622" s="7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6" t="n">
        <v>7079475999</v>
      </c>
      <c r="F623" t="inlineStr"/>
      <c r="I623" t="inlineStr">
        <is>
          <t>20250814003346</t>
        </is>
      </c>
      <c r="J623" s="7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6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7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6" t="n">
        <v>141057118027</v>
      </c>
      <c r="F625" t="inlineStr"/>
      <c r="I625" t="inlineStr">
        <is>
          <t>20260316001329</t>
        </is>
      </c>
      <c r="J625" s="7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6" t="n">
        <v>73435174603</v>
      </c>
      <c r="F626" t="inlineStr"/>
      <c r="I626" t="inlineStr">
        <is>
          <t>20250814003346</t>
        </is>
      </c>
      <c r="J626" s="7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6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7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6" t="n">
        <v>41700633014</v>
      </c>
      <c r="F628" t="inlineStr"/>
      <c r="I628" t="inlineStr">
        <is>
          <t>20260316001329</t>
        </is>
      </c>
      <c r="J628" s="7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6" t="n">
        <v>22305324388</v>
      </c>
      <c r="F629" t="inlineStr"/>
      <c r="I629" t="inlineStr">
        <is>
          <t>20250814003346</t>
        </is>
      </c>
      <c r="J629" s="7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6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7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6" t="n">
        <v>11709586777</v>
      </c>
      <c r="F631" t="inlineStr"/>
      <c r="I631" t="inlineStr">
        <is>
          <t>20260316001329</t>
        </is>
      </c>
      <c r="J631" s="7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6" t="n">
        <v>7068099180</v>
      </c>
      <c r="F632" t="inlineStr"/>
      <c r="I632" t="inlineStr">
        <is>
          <t>20250814003346</t>
        </is>
      </c>
      <c r="J632" s="7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6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7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6" t="n">
        <v>-4869001747</v>
      </c>
      <c r="F634" t="inlineStr"/>
      <c r="I634" t="inlineStr">
        <is>
          <t>20260316001329</t>
        </is>
      </c>
      <c r="J634" s="7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6" t="n">
        <v>-8912371072</v>
      </c>
      <c r="F635" t="inlineStr"/>
      <c r="I635" t="inlineStr">
        <is>
          <t>20250814003346</t>
        </is>
      </c>
      <c r="J635" s="7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6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7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6" t="n">
        <v>297413215463</v>
      </c>
      <c r="F637" t="inlineStr"/>
      <c r="I637" t="inlineStr">
        <is>
          <t>20250814003346</t>
        </is>
      </c>
      <c r="J637" s="7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6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7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6" t="n">
        <v>437929560652</v>
      </c>
      <c r="F639" t="inlineStr"/>
      <c r="I639" t="inlineStr">
        <is>
          <t>20250814003346</t>
        </is>
      </c>
      <c r="J639" s="7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6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7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6" t="n">
        <v>103446764589</v>
      </c>
      <c r="F641" t="inlineStr"/>
      <c r="I641" t="inlineStr">
        <is>
          <t>20250814003346</t>
        </is>
      </c>
      <c r="J641" s="7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6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7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6" t="n">
        <v>75637328602</v>
      </c>
      <c r="F643" t="inlineStr"/>
      <c r="I643" t="inlineStr">
        <is>
          <t>20250814003346</t>
        </is>
      </c>
      <c r="J643" s="7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6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7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6" t="n">
        <v>23500000000</v>
      </c>
      <c r="F645" t="inlineStr"/>
      <c r="I645" t="inlineStr">
        <is>
          <t>20250814003346</t>
        </is>
      </c>
      <c r="J645" s="7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6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7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6" t="n">
        <v>-7170811062</v>
      </c>
      <c r="F647" t="inlineStr"/>
      <c r="I647" t="inlineStr">
        <is>
          <t>20260323001163</t>
        </is>
      </c>
      <c r="J647" s="7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6" t="n">
        <v>20885251907</v>
      </c>
      <c r="F648" t="inlineStr"/>
      <c r="I648" t="inlineStr">
        <is>
          <t>20250814002857</t>
        </is>
      </c>
      <c r="J648" s="7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6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7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6" t="n">
        <v>4191427824</v>
      </c>
      <c r="F650" t="inlineStr"/>
      <c r="I650" t="inlineStr">
        <is>
          <t>20260323001163</t>
        </is>
      </c>
      <c r="J650" s="7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6" t="n">
        <v>26828622663</v>
      </c>
      <c r="F651" t="inlineStr"/>
      <c r="I651" t="inlineStr">
        <is>
          <t>20250814002857</t>
        </is>
      </c>
      <c r="J651" s="7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6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7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6" t="n">
        <v>541777680410</v>
      </c>
      <c r="F653" t="inlineStr"/>
      <c r="I653" t="inlineStr">
        <is>
          <t>20260323001163</t>
        </is>
      </c>
      <c r="J653" s="7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6" t="n">
        <v>249281576296</v>
      </c>
      <c r="F654" t="inlineStr"/>
      <c r="I654" t="inlineStr">
        <is>
          <t>20250814002857</t>
        </is>
      </c>
      <c r="J654" s="7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6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7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6" t="n">
        <v>163365542599</v>
      </c>
      <c r="F656" t="inlineStr"/>
      <c r="I656" t="inlineStr">
        <is>
          <t>20260323001163</t>
        </is>
      </c>
      <c r="J656" s="7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6" t="n">
        <v>72540951485</v>
      </c>
      <c r="F657" t="inlineStr"/>
      <c r="I657" t="inlineStr">
        <is>
          <t>20250814002857</t>
        </is>
      </c>
      <c r="J657" s="7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6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7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6" t="n">
        <v>38479275179</v>
      </c>
      <c r="F659" t="inlineStr"/>
      <c r="I659" t="inlineStr">
        <is>
          <t>20260323001163</t>
        </is>
      </c>
      <c r="J659" s="7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6" t="n">
        <v>19890942025</v>
      </c>
      <c r="F660" t="inlineStr"/>
      <c r="I660" t="inlineStr">
        <is>
          <t>20250814002857</t>
        </is>
      </c>
      <c r="J660" s="7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6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7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6" t="n">
        <v>19425348249</v>
      </c>
      <c r="F662" t="inlineStr"/>
      <c r="I662" t="inlineStr">
        <is>
          <t>20260323001163</t>
        </is>
      </c>
      <c r="J662" s="7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6" t="n">
        <v>-11914451026</v>
      </c>
      <c r="F663" t="inlineStr"/>
      <c r="I663" t="inlineStr">
        <is>
          <t>20250814002857</t>
        </is>
      </c>
      <c r="J663" s="7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6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7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6" t="n">
        <v>286440474766</v>
      </c>
      <c r="F665" t="inlineStr"/>
      <c r="I665" t="inlineStr">
        <is>
          <t>20250814002857</t>
        </is>
      </c>
      <c r="J665" s="7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6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7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6" t="n">
        <v>649454285040</v>
      </c>
      <c r="F667" t="inlineStr"/>
      <c r="I667" t="inlineStr">
        <is>
          <t>20250814002857</t>
        </is>
      </c>
      <c r="J667" s="7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6" t="n">
        <v>24331190828</v>
      </c>
      <c r="F668" t="inlineStr">
        <is>
          <t>id</t>
        </is>
      </c>
      <c r="G668" t="inlineStr">
        <is>
          <t>dart_CurrentPortionOfBondWithWarrant + ifrs-full_CurrentLeaseLiabilities + ifrs-full_NoncurrentLeaseLiabilities + ifrs-full_NoncurrentPortionOfNoncurrentLoansReceived</t>
        </is>
      </c>
      <c r="H668" t="inlineStr">
        <is>
          <t>유동성신주인수권부사채 + 유동 리스부채 + 비유동 리스부채 + 장기차입금</t>
        </is>
      </c>
      <c r="I668" t="inlineStr">
        <is>
          <t>20260814002813</t>
        </is>
      </c>
      <c r="J668" s="7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6" t="n">
        <v>164949624731</v>
      </c>
      <c r="F669" t="inlineStr"/>
      <c r="I669" t="inlineStr">
        <is>
          <t>20250814002857</t>
        </is>
      </c>
      <c r="J669" s="7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6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7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6" t="n">
        <v>40138854691</v>
      </c>
      <c r="F671" t="inlineStr"/>
      <c r="I671" t="inlineStr">
        <is>
          <t>20250814002857</t>
        </is>
      </c>
      <c r="J671" s="7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6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7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6" t="n">
        <v>13245748458</v>
      </c>
      <c r="F673" t="inlineStr"/>
      <c r="I673" t="inlineStr">
        <is>
          <t>20250814002857</t>
        </is>
      </c>
      <c r="J673" s="7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6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7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6" t="n">
        <v>1007310092</v>
      </c>
      <c r="F675" t="inlineStr"/>
      <c r="I675" t="inlineStr">
        <is>
          <t>20260318000963</t>
        </is>
      </c>
      <c r="J675" s="7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6" t="n">
        <v>2597793602</v>
      </c>
      <c r="F676" t="inlineStr"/>
      <c r="I676" t="inlineStr">
        <is>
          <t>20250813000608</t>
        </is>
      </c>
      <c r="J676" s="7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6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7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6" t="n">
        <v>1007310092</v>
      </c>
      <c r="F678" t="inlineStr"/>
      <c r="I678" t="inlineStr">
        <is>
          <t>20260318000963</t>
        </is>
      </c>
      <c r="J678" s="7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6" t="n">
        <v>2597793602</v>
      </c>
      <c r="F679" t="inlineStr"/>
      <c r="I679" t="inlineStr">
        <is>
          <t>20250813000608</t>
        </is>
      </c>
      <c r="J679" s="7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6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7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6" t="n">
        <v>33952962076</v>
      </c>
      <c r="F681" t="inlineStr"/>
      <c r="I681" t="inlineStr">
        <is>
          <t>20260318000963</t>
        </is>
      </c>
      <c r="J681" s="7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6" t="n">
        <v>22355656037</v>
      </c>
      <c r="F682" t="inlineStr"/>
      <c r="I682" t="inlineStr">
        <is>
          <t>20250813000608</t>
        </is>
      </c>
      <c r="J682" s="7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6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7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6" t="n">
        <v>11806665529</v>
      </c>
      <c r="F684" t="inlineStr"/>
      <c r="I684" t="inlineStr">
        <is>
          <t>20260318000963</t>
        </is>
      </c>
      <c r="J684" s="7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6" t="n">
        <v>8685381071</v>
      </c>
      <c r="F685" t="inlineStr"/>
      <c r="I685" t="inlineStr">
        <is>
          <t>20250813000608</t>
        </is>
      </c>
      <c r="J685" s="7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6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7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6" t="n">
        <v>917421524</v>
      </c>
      <c r="F687" t="inlineStr"/>
      <c r="I687" t="inlineStr">
        <is>
          <t>20260318000963</t>
        </is>
      </c>
      <c r="J687" s="7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6" t="n">
        <v>2988155561</v>
      </c>
      <c r="F688" t="inlineStr"/>
      <c r="I688" t="inlineStr">
        <is>
          <t>20250813000608</t>
        </is>
      </c>
      <c r="J688" s="7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6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7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6" t="n">
        <v>9087571309</v>
      </c>
      <c r="F690" t="inlineStr"/>
      <c r="I690" t="inlineStr">
        <is>
          <t>20260318000963</t>
        </is>
      </c>
      <c r="J690" s="7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6" t="n">
        <v>-854294738</v>
      </c>
      <c r="F691" t="inlineStr"/>
      <c r="I691" t="inlineStr">
        <is>
          <t>20250813000608</t>
        </is>
      </c>
      <c r="J691" s="7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6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7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6" t="n">
        <v>43969517308</v>
      </c>
      <c r="F693" t="inlineStr"/>
      <c r="I693" t="inlineStr">
        <is>
          <t>20250813000608</t>
        </is>
      </c>
      <c r="J693" s="7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6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7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6" t="n">
        <v>69897618335</v>
      </c>
      <c r="F695" t="inlineStr"/>
      <c r="I695" t="inlineStr">
        <is>
          <t>20250813000608</t>
        </is>
      </c>
      <c r="J695" s="7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6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7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6" t="n">
        <v>16398587603</v>
      </c>
      <c r="F697" t="inlineStr"/>
      <c r="I697" t="inlineStr">
        <is>
          <t>20250813000608</t>
        </is>
      </c>
      <c r="J697" s="7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6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7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6" t="n">
        <v>764667310</v>
      </c>
      <c r="F699" t="inlineStr"/>
      <c r="I699" t="inlineStr">
        <is>
          <t>20250813000608</t>
        </is>
      </c>
      <c r="J699" s="7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6" t="n">
        <v>0</v>
      </c>
      <c r="F700" t="inlineStr">
        <is>
          <t>zero_default</t>
        </is>
      </c>
      <c r="I700" t="inlineStr">
        <is>
          <t>20260813000903</t>
        </is>
      </c>
      <c r="J700" s="7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6" t="n">
        <v>0</v>
      </c>
      <c r="F701" t="inlineStr"/>
      <c r="I701" t="inlineStr">
        <is>
          <t>20250813000608</t>
        </is>
      </c>
      <c r="J701" s="7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5" t="inlineStr">
        <is>
          <t>지표</t>
        </is>
      </c>
      <c r="B1" s="5" t="inlineStr">
        <is>
          <t>계산 가능</t>
        </is>
      </c>
      <c r="C1" s="5" t="inlineStr">
        <is>
          <t>평가 대상</t>
        </is>
      </c>
      <c r="D1" s="5" t="inlineStr">
        <is>
          <t>비율</t>
        </is>
      </c>
      <c r="E1" s="5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0</v>
      </c>
      <c r="C11" t="n">
        <v>25</v>
      </c>
      <c r="D11" t="inlineStr">
        <is>
          <t>0%</t>
        </is>
      </c>
      <c r="E11" t="inlineStr">
        <is>
          <t>수정주가 미검증 25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2026-10-24T14:01:44Z</dcterms:created>
  <dcterms:modified xmlns:dcterms="http://purl.org/dc/terms/" xmlns:xsi="http://www.w3.org/2001/XMLSchema-instance" xsi:type="dcterms:W3CDTF">2026-10-24T14:01:44Z</dcterms:modified>
</cp:coreProperties>
</file>