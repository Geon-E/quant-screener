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안내" sheetId="1" state="visible" r:id="rId1"/>
    <sheet xmlns:r="http://schemas.openxmlformats.org/officeDocument/2006/relationships" name="확인 표본" sheetId="2" state="visible" r:id="rId2"/>
    <sheet xmlns:r="http://schemas.openxmlformats.org/officeDocument/2006/relationships" name="검증계산" sheetId="3" state="visible" r:id="rId3"/>
    <sheet xmlns:r="http://schemas.openxmlformats.org/officeDocument/2006/relationships" name="원천값 확인" sheetId="4" state="visible" r:id="rId4"/>
    <sheet xmlns:r="http://schemas.openxmlformats.org/officeDocument/2006/relationships" name="커버리지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3"/>
    </font>
    <font>
      <b val="1"/>
    </font>
    <font>
      <color rgb="001F5FD6"/>
      <u val="single"/>
    </font>
  </fonts>
  <fills count="5">
    <fill>
      <patternFill/>
    </fill>
    <fill>
      <patternFill patternType="gray125"/>
    </fill>
    <fill>
      <patternFill patternType="solid">
        <fgColor rgb="00DDE7F7"/>
      </patternFill>
    </fill>
    <fill>
      <patternFill patternType="solid">
        <fgColor rgb="00FFF6D6"/>
      </patternFill>
    </fill>
    <fill>
      <patternFill patternType="solid">
        <fgColor rgb="00E8F5E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3" fontId="0" fillId="0" borderId="0" pivotButton="0" quotePrefix="0" xfId="0"/>
    <xf numFmtId="0" fontId="3" fillId="0" borderId="0" pivotButton="0" quotePrefix="0" xfId="0"/>
    <xf numFmtId="0" fontId="0" fillId="3" borderId="0" pivotButton="0" quotePrefix="0" xfId="0"/>
    <xf numFmtId="3" fontId="0" fillId="3" borderId="0" pivotButton="0" quotePrefix="0" xfId="0"/>
    <xf numFmtId="0" fontId="3" fillId="3" borderId="0" pivotButton="0" quotePrefix="0" xfId="0"/>
    <xf numFmtId="0" fontId="2" fillId="2" borderId="0" applyAlignment="1" pivotButton="0" quotePrefix="0" xfId="0">
      <alignment vertical="center" wrapText="1"/>
    </xf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dart.fss.or.kr/dsaf001/main.do?rcpNo=20260814003699" TargetMode="External" Id="rId1"/><Relationship Type="http://schemas.openxmlformats.org/officeDocument/2006/relationships/hyperlink" Target="https://dart.fss.or.kr/dsaf001/main.do?rcpNo=20260814003699" TargetMode="External" Id="rId2"/><Relationship Type="http://schemas.openxmlformats.org/officeDocument/2006/relationships/hyperlink" Target="https://dart.fss.or.kr/dsaf001/main.do?rcpNo=20260814003699" TargetMode="External" Id="rId3"/><Relationship Type="http://schemas.openxmlformats.org/officeDocument/2006/relationships/hyperlink" Target="https://dart.fss.or.kr/dsaf001/main.do?rcpNo=20260814003699" TargetMode="External" Id="rId4"/><Relationship Type="http://schemas.openxmlformats.org/officeDocument/2006/relationships/hyperlink" Target="https://dart.fss.or.kr/dsaf001/main.do?rcpNo=20260814003509" TargetMode="External" Id="rId5"/><Relationship Type="http://schemas.openxmlformats.org/officeDocument/2006/relationships/hyperlink" Target="https://dart.fss.or.kr/dsaf001/main.do?rcpNo=20260814003509" TargetMode="External" Id="rId6"/><Relationship Type="http://schemas.openxmlformats.org/officeDocument/2006/relationships/hyperlink" Target="https://dart.fss.or.kr/dsaf001/main.do?rcpNo=20260814003509" TargetMode="External" Id="rId7"/><Relationship Type="http://schemas.openxmlformats.org/officeDocument/2006/relationships/hyperlink" Target="https://dart.fss.or.kr/dsaf001/main.do?rcpNo=20260814003509" TargetMode="External" Id="rId8"/><Relationship Type="http://schemas.openxmlformats.org/officeDocument/2006/relationships/hyperlink" Target="https://dart.fss.or.kr/dsaf001/main.do?rcpNo=20260814003521" TargetMode="External" Id="rId9"/><Relationship Type="http://schemas.openxmlformats.org/officeDocument/2006/relationships/hyperlink" Target="https://dart.fss.or.kr/dsaf001/main.do?rcpNo=20260814003521" TargetMode="External" Id="rId10"/><Relationship Type="http://schemas.openxmlformats.org/officeDocument/2006/relationships/hyperlink" Target="https://dart.fss.or.kr/dsaf001/main.do?rcpNo=20260814003521" TargetMode="External" Id="rId11"/><Relationship Type="http://schemas.openxmlformats.org/officeDocument/2006/relationships/hyperlink" Target="https://dart.fss.or.kr/dsaf001/main.do?rcpNo=20260814003521" TargetMode="External" Id="rId12"/><Relationship Type="http://schemas.openxmlformats.org/officeDocument/2006/relationships/hyperlink" Target="https://dart.fss.or.kr/dsaf001/main.do?rcpNo=20260814002266" TargetMode="External" Id="rId13"/><Relationship Type="http://schemas.openxmlformats.org/officeDocument/2006/relationships/hyperlink" Target="https://dart.fss.or.kr/dsaf001/main.do?rcpNo=20260814002266" TargetMode="External" Id="rId14"/><Relationship Type="http://schemas.openxmlformats.org/officeDocument/2006/relationships/hyperlink" Target="https://dart.fss.or.kr/dsaf001/main.do?rcpNo=20260814002266" TargetMode="External" Id="rId15"/><Relationship Type="http://schemas.openxmlformats.org/officeDocument/2006/relationships/hyperlink" Target="https://dart.fss.or.kr/dsaf001/main.do?rcpNo=20260814002266" TargetMode="External" Id="rId16"/><Relationship Type="http://schemas.openxmlformats.org/officeDocument/2006/relationships/hyperlink" Target="https://dart.fss.or.kr/dsaf001/main.do?rcpNo=20260814002266" TargetMode="External" Id="rId17"/><Relationship Type="http://schemas.openxmlformats.org/officeDocument/2006/relationships/hyperlink" Target="https://dart.fss.or.kr/dsaf001/main.do?rcpNo=20260814002655" TargetMode="External" Id="rId18"/><Relationship Type="http://schemas.openxmlformats.org/officeDocument/2006/relationships/hyperlink" Target="https://dart.fss.or.kr/dsaf001/main.do?rcpNo=20260814002655" TargetMode="External" Id="rId19"/><Relationship Type="http://schemas.openxmlformats.org/officeDocument/2006/relationships/hyperlink" Target="https://dart.fss.or.kr/dsaf001/main.do?rcpNo=20260814002655" TargetMode="External" Id="rId20"/><Relationship Type="http://schemas.openxmlformats.org/officeDocument/2006/relationships/hyperlink" Target="https://dart.fss.or.kr/dsaf001/main.do?rcpNo=20260814002655" TargetMode="External" Id="rId21"/><Relationship Type="http://schemas.openxmlformats.org/officeDocument/2006/relationships/hyperlink" Target="https://dart.fss.or.kr/dsaf001/main.do?rcpNo=20260814002655" TargetMode="External" Id="rId22"/><Relationship Type="http://schemas.openxmlformats.org/officeDocument/2006/relationships/hyperlink" Target="https://dart.fss.or.kr/dsaf001/main.do?rcpNo=20260819000055" TargetMode="External" Id="rId23"/><Relationship Type="http://schemas.openxmlformats.org/officeDocument/2006/relationships/hyperlink" Target="https://dart.fss.or.kr/dsaf001/main.do?rcpNo=20260819000055" TargetMode="External" Id="rId24"/><Relationship Type="http://schemas.openxmlformats.org/officeDocument/2006/relationships/hyperlink" Target="https://dart.fss.or.kr/dsaf001/main.do?rcpNo=20260819000055" TargetMode="External" Id="rId25"/><Relationship Type="http://schemas.openxmlformats.org/officeDocument/2006/relationships/hyperlink" Target="https://dart.fss.or.kr/dsaf001/main.do?rcpNo=20260819000055" TargetMode="External" Id="rId26"/><Relationship Type="http://schemas.openxmlformats.org/officeDocument/2006/relationships/hyperlink" Target="https://dart.fss.or.kr/dsaf001/main.do?rcpNo=20260819000055" TargetMode="External" Id="rId27"/><Relationship Type="http://schemas.openxmlformats.org/officeDocument/2006/relationships/hyperlink" Target="https://dart.fss.or.kr/dsaf001/main.do?rcpNo=20260814002972" TargetMode="External" Id="rId28"/><Relationship Type="http://schemas.openxmlformats.org/officeDocument/2006/relationships/hyperlink" Target="https://dart.fss.or.kr/dsaf001/main.do?rcpNo=20260814002972" TargetMode="External" Id="rId29"/><Relationship Type="http://schemas.openxmlformats.org/officeDocument/2006/relationships/hyperlink" Target="https://dart.fss.or.kr/dsaf001/main.do?rcpNo=20260814002972" TargetMode="External" Id="rId30"/><Relationship Type="http://schemas.openxmlformats.org/officeDocument/2006/relationships/hyperlink" Target="https://dart.fss.or.kr/dsaf001/main.do?rcpNo=20260814002972" TargetMode="External" Id="rId31"/><Relationship Type="http://schemas.openxmlformats.org/officeDocument/2006/relationships/hyperlink" Target="https://dart.fss.or.kr/dsaf001/main.do?rcpNo=20260814002185" TargetMode="External" Id="rId32"/><Relationship Type="http://schemas.openxmlformats.org/officeDocument/2006/relationships/hyperlink" Target="https://dart.fss.or.kr/dsaf001/main.do?rcpNo=20260814002185" TargetMode="External" Id="rId33"/><Relationship Type="http://schemas.openxmlformats.org/officeDocument/2006/relationships/hyperlink" Target="https://dart.fss.or.kr/dsaf001/main.do?rcpNo=20260814002185" TargetMode="External" Id="rId34"/><Relationship Type="http://schemas.openxmlformats.org/officeDocument/2006/relationships/hyperlink" Target="https://dart.fss.or.kr/dsaf001/main.do?rcpNo=20260814002185" TargetMode="External" Id="rId35"/><Relationship Type="http://schemas.openxmlformats.org/officeDocument/2006/relationships/hyperlink" Target="https://dart.fss.or.kr/dsaf001/main.do?rcpNo=20260930000262" TargetMode="External" Id="rId36"/><Relationship Type="http://schemas.openxmlformats.org/officeDocument/2006/relationships/hyperlink" Target="https://dart.fss.or.kr/dsaf001/main.do?rcpNo=20260930000262" TargetMode="External" Id="rId37"/><Relationship Type="http://schemas.openxmlformats.org/officeDocument/2006/relationships/hyperlink" Target="https://dart.fss.or.kr/dsaf001/main.do?rcpNo=20260930000262" TargetMode="External" Id="rId38"/><Relationship Type="http://schemas.openxmlformats.org/officeDocument/2006/relationships/hyperlink" Target="https://dart.fss.or.kr/dsaf001/main.do?rcpNo=20260930000262" TargetMode="External" Id="rId39"/><Relationship Type="http://schemas.openxmlformats.org/officeDocument/2006/relationships/hyperlink" Target="https://dart.fss.or.kr/dsaf001/main.do?rcpNo=20260814001277" TargetMode="External" Id="rId40"/><Relationship Type="http://schemas.openxmlformats.org/officeDocument/2006/relationships/hyperlink" Target="https://dart.fss.or.kr/dsaf001/main.do?rcpNo=20260814001277" TargetMode="External" Id="rId41"/><Relationship Type="http://schemas.openxmlformats.org/officeDocument/2006/relationships/hyperlink" Target="https://dart.fss.or.kr/dsaf001/main.do?rcpNo=20260814001277" TargetMode="External" Id="rId42"/><Relationship Type="http://schemas.openxmlformats.org/officeDocument/2006/relationships/hyperlink" Target="https://dart.fss.or.kr/dsaf001/main.do?rcpNo=20260814001277" TargetMode="External" Id="rId43"/><Relationship Type="http://schemas.openxmlformats.org/officeDocument/2006/relationships/hyperlink" Target="https://dart.fss.or.kr/dsaf001/main.do?rcpNo=20260814001277" TargetMode="External" Id="rId44"/><Relationship Type="http://schemas.openxmlformats.org/officeDocument/2006/relationships/hyperlink" Target="https://dart.fss.or.kr/dsaf001/main.do?rcpNo=20260813000886" TargetMode="External" Id="rId45"/><Relationship Type="http://schemas.openxmlformats.org/officeDocument/2006/relationships/hyperlink" Target="https://dart.fss.or.kr/dsaf001/main.do?rcpNo=20260813000886" TargetMode="External" Id="rId46"/><Relationship Type="http://schemas.openxmlformats.org/officeDocument/2006/relationships/hyperlink" Target="https://dart.fss.or.kr/dsaf001/main.do?rcpNo=20260813000886" TargetMode="External" Id="rId47"/><Relationship Type="http://schemas.openxmlformats.org/officeDocument/2006/relationships/hyperlink" Target="https://dart.fss.or.kr/dsaf001/main.do?rcpNo=20260813000886" TargetMode="External" Id="rId48"/><Relationship Type="http://schemas.openxmlformats.org/officeDocument/2006/relationships/hyperlink" Target="https://dart.fss.or.kr/dsaf001/main.do?rcpNo=20260813000886" TargetMode="External" Id="rId49"/><Relationship Type="http://schemas.openxmlformats.org/officeDocument/2006/relationships/hyperlink" Target="https://dart.fss.or.kr/dsaf001/main.do?rcpNo=20260813000886" TargetMode="External" Id="rId50"/><Relationship Type="http://schemas.openxmlformats.org/officeDocument/2006/relationships/hyperlink" Target="https://dart.fss.or.kr/dsaf001/main.do?rcpNo=20260814004197" TargetMode="External" Id="rId51"/><Relationship Type="http://schemas.openxmlformats.org/officeDocument/2006/relationships/hyperlink" Target="https://dart.fss.or.kr/dsaf001/main.do?rcpNo=20260814004197" TargetMode="External" Id="rId52"/><Relationship Type="http://schemas.openxmlformats.org/officeDocument/2006/relationships/hyperlink" Target="https://dart.fss.or.kr/dsaf001/main.do?rcpNo=20260814004197" TargetMode="External" Id="rId53"/><Relationship Type="http://schemas.openxmlformats.org/officeDocument/2006/relationships/hyperlink" Target="https://dart.fss.or.kr/dsaf001/main.do?rcpNo=20260814004197" TargetMode="External" Id="rId54"/><Relationship Type="http://schemas.openxmlformats.org/officeDocument/2006/relationships/hyperlink" Target="https://dart.fss.or.kr/dsaf001/main.do?rcpNo=20260814004197" TargetMode="External" Id="rId55"/><Relationship Type="http://schemas.openxmlformats.org/officeDocument/2006/relationships/hyperlink" Target="https://dart.fss.or.kr/dsaf001/main.do?rcpNo=20260319000961" TargetMode="External" Id="rId56"/><Relationship Type="http://schemas.openxmlformats.org/officeDocument/2006/relationships/hyperlink" Target="https://dart.fss.or.kr/dsaf001/main.do?rcpNo=20260319000961" TargetMode="External" Id="rId57"/><Relationship Type="http://schemas.openxmlformats.org/officeDocument/2006/relationships/hyperlink" Target="https://dart.fss.or.kr/dsaf001/main.do?rcpNo=20260319000961" TargetMode="External" Id="rId58"/><Relationship Type="http://schemas.openxmlformats.org/officeDocument/2006/relationships/hyperlink" Target="https://dart.fss.or.kr/dsaf001/main.do?rcpNo=20260319000961" TargetMode="External" Id="rId59"/><Relationship Type="http://schemas.openxmlformats.org/officeDocument/2006/relationships/hyperlink" Target="https://dart.fss.or.kr/dsaf001/main.do?rcpNo=20260319000961" TargetMode="External" Id="rId60"/><Relationship Type="http://schemas.openxmlformats.org/officeDocument/2006/relationships/hyperlink" Target="https://dart.fss.or.kr/dsaf001/main.do?rcpNo=20260319000961" TargetMode="External" Id="rId61"/><Relationship Type="http://schemas.openxmlformats.org/officeDocument/2006/relationships/hyperlink" Target="https://dart.fss.or.kr/dsaf001/main.do?rcpNo=20251114002977" TargetMode="External" Id="rId62"/><Relationship Type="http://schemas.openxmlformats.org/officeDocument/2006/relationships/hyperlink" Target="https://dart.fss.or.kr/dsaf001/main.do?rcpNo=20251114002977" TargetMode="External" Id="rId63"/><Relationship Type="http://schemas.openxmlformats.org/officeDocument/2006/relationships/hyperlink" Target="https://dart.fss.or.kr/dsaf001/main.do?rcpNo=20251114002977" TargetMode="External" Id="rId64"/><Relationship Type="http://schemas.openxmlformats.org/officeDocument/2006/relationships/hyperlink" Target="https://dart.fss.or.kr/dsaf001/main.do?rcpNo=20251114002977" TargetMode="External" Id="rId65"/><Relationship Type="http://schemas.openxmlformats.org/officeDocument/2006/relationships/hyperlink" Target="https://dart.fss.or.kr/dsaf001/main.do?rcpNo=20251114002977" TargetMode="External" Id="rId66"/><Relationship Type="http://schemas.openxmlformats.org/officeDocument/2006/relationships/hyperlink" Target="https://dart.fss.or.kr/dsaf001/main.do?rcpNo=20251114002977" TargetMode="External" Id="rId67"/><Relationship Type="http://schemas.openxmlformats.org/officeDocument/2006/relationships/hyperlink" Target="https://dart.fss.or.kr/dsaf001/main.do?rcpNo=20261001000436" TargetMode="External" Id="rId68"/><Relationship Type="http://schemas.openxmlformats.org/officeDocument/2006/relationships/hyperlink" Target="https://dart.fss.or.kr/dsaf001/main.do?rcpNo=20261001000436" TargetMode="External" Id="rId69"/><Relationship Type="http://schemas.openxmlformats.org/officeDocument/2006/relationships/hyperlink" Target="https://dart.fss.or.kr/dsaf001/main.do?rcpNo=20261001000436" TargetMode="External" Id="rId70"/><Relationship Type="http://schemas.openxmlformats.org/officeDocument/2006/relationships/hyperlink" Target="https://dart.fss.or.kr/dsaf001/main.do?rcpNo=20261001000436" TargetMode="External" Id="rId71"/><Relationship Type="http://schemas.openxmlformats.org/officeDocument/2006/relationships/hyperlink" Target="https://dart.fss.or.kr/dsaf001/main.do?rcpNo=20261001000436" TargetMode="External" Id="rId72"/><Relationship Type="http://schemas.openxmlformats.org/officeDocument/2006/relationships/hyperlink" Target="https://dart.fss.or.kr/dsaf001/main.do?rcpNo=20261001000436" TargetMode="External" Id="rId73"/><Relationship Type="http://schemas.openxmlformats.org/officeDocument/2006/relationships/hyperlink" Target="https://dart.fss.or.kr/dsaf001/main.do?rcpNo=20260814004242" TargetMode="External" Id="rId74"/><Relationship Type="http://schemas.openxmlformats.org/officeDocument/2006/relationships/hyperlink" Target="https://dart.fss.or.kr/dsaf001/main.do?rcpNo=20260814004242" TargetMode="External" Id="rId75"/><Relationship Type="http://schemas.openxmlformats.org/officeDocument/2006/relationships/hyperlink" Target="https://dart.fss.or.kr/dsaf001/main.do?rcpNo=20260814004242" TargetMode="External" Id="rId76"/><Relationship Type="http://schemas.openxmlformats.org/officeDocument/2006/relationships/hyperlink" Target="https://dart.fss.or.kr/dsaf001/main.do?rcpNo=20260814004242" TargetMode="External" Id="rId77"/><Relationship Type="http://schemas.openxmlformats.org/officeDocument/2006/relationships/hyperlink" Target="https://dart.fss.or.kr/dsaf001/main.do?rcpNo=20260814004242" TargetMode="External" Id="rId78"/><Relationship Type="http://schemas.openxmlformats.org/officeDocument/2006/relationships/hyperlink" Target="https://dart.fss.or.kr/dsaf001/main.do?rcpNo=20260814004242" TargetMode="External" Id="rId79"/><Relationship Type="http://schemas.openxmlformats.org/officeDocument/2006/relationships/hyperlink" Target="https://dart.fss.or.kr/dsaf001/main.do?rcpNo=20260814001247" TargetMode="External" Id="rId80"/><Relationship Type="http://schemas.openxmlformats.org/officeDocument/2006/relationships/hyperlink" Target="https://dart.fss.or.kr/dsaf001/main.do?rcpNo=20260814001247" TargetMode="External" Id="rId81"/><Relationship Type="http://schemas.openxmlformats.org/officeDocument/2006/relationships/hyperlink" Target="https://dart.fss.or.kr/dsaf001/main.do?rcpNo=20260814001247" TargetMode="External" Id="rId82"/><Relationship Type="http://schemas.openxmlformats.org/officeDocument/2006/relationships/hyperlink" Target="https://dart.fss.or.kr/dsaf001/main.do?rcpNo=20260814001247" TargetMode="External" Id="rId83"/><Relationship Type="http://schemas.openxmlformats.org/officeDocument/2006/relationships/hyperlink" Target="https://dart.fss.or.kr/dsaf001/main.do?rcpNo=20260814001247" TargetMode="External" Id="rId84"/><Relationship Type="http://schemas.openxmlformats.org/officeDocument/2006/relationships/hyperlink" Target="https://dart.fss.or.kr/dsaf001/main.do?rcpNo=20260814001247" TargetMode="External" Id="rId85"/><Relationship Type="http://schemas.openxmlformats.org/officeDocument/2006/relationships/hyperlink" Target="https://dart.fss.or.kr/dsaf001/main.do?rcpNo=20260813001428" TargetMode="External" Id="rId86"/><Relationship Type="http://schemas.openxmlformats.org/officeDocument/2006/relationships/hyperlink" Target="https://dart.fss.or.kr/dsaf001/main.do?rcpNo=20260813001428" TargetMode="External" Id="rId87"/><Relationship Type="http://schemas.openxmlformats.org/officeDocument/2006/relationships/hyperlink" Target="https://dart.fss.or.kr/dsaf001/main.do?rcpNo=20260813001428" TargetMode="External" Id="rId88"/><Relationship Type="http://schemas.openxmlformats.org/officeDocument/2006/relationships/hyperlink" Target="https://dart.fss.or.kr/dsaf001/main.do?rcpNo=20260813001428" TargetMode="External" Id="rId89"/><Relationship Type="http://schemas.openxmlformats.org/officeDocument/2006/relationships/hyperlink" Target="https://dart.fss.or.kr/dsaf001/main.do?rcpNo=20260813001428" TargetMode="External" Id="rId90"/><Relationship Type="http://schemas.openxmlformats.org/officeDocument/2006/relationships/hyperlink" Target="https://dart.fss.or.kr/dsaf001/main.do?rcpNo=20260813001428" TargetMode="External" Id="rId91"/><Relationship Type="http://schemas.openxmlformats.org/officeDocument/2006/relationships/hyperlink" Target="https://dart.fss.or.kr/dsaf001/main.do?rcpNo=20260814000203" TargetMode="External" Id="rId92"/><Relationship Type="http://schemas.openxmlformats.org/officeDocument/2006/relationships/hyperlink" Target="https://dart.fss.or.kr/dsaf001/main.do?rcpNo=20260814000203" TargetMode="External" Id="rId93"/><Relationship Type="http://schemas.openxmlformats.org/officeDocument/2006/relationships/hyperlink" Target="https://dart.fss.or.kr/dsaf001/main.do?rcpNo=20260814000203" TargetMode="External" Id="rId94"/><Relationship Type="http://schemas.openxmlformats.org/officeDocument/2006/relationships/hyperlink" Target="https://dart.fss.or.kr/dsaf001/main.do?rcpNo=20260814000203" TargetMode="External" Id="rId95"/><Relationship Type="http://schemas.openxmlformats.org/officeDocument/2006/relationships/hyperlink" Target="https://dart.fss.or.kr/dsaf001/main.do?rcpNo=20260814000203" TargetMode="External" Id="rId96"/><Relationship Type="http://schemas.openxmlformats.org/officeDocument/2006/relationships/hyperlink" Target="https://dart.fss.or.kr/dsaf001/main.do?rcpNo=20260814003183" TargetMode="External" Id="rId97"/><Relationship Type="http://schemas.openxmlformats.org/officeDocument/2006/relationships/hyperlink" Target="https://dart.fss.or.kr/dsaf001/main.do?rcpNo=20260814003183" TargetMode="External" Id="rId98"/><Relationship Type="http://schemas.openxmlformats.org/officeDocument/2006/relationships/hyperlink" Target="https://dart.fss.or.kr/dsaf001/main.do?rcpNo=20260814003183" TargetMode="External" Id="rId99"/><Relationship Type="http://schemas.openxmlformats.org/officeDocument/2006/relationships/hyperlink" Target="https://dart.fss.or.kr/dsaf001/main.do?rcpNo=20260814003183" TargetMode="External" Id="rId100"/><Relationship Type="http://schemas.openxmlformats.org/officeDocument/2006/relationships/hyperlink" Target="https://dart.fss.or.kr/dsaf001/main.do?rcpNo=20260814003183" TargetMode="External" Id="rId101"/><Relationship Type="http://schemas.openxmlformats.org/officeDocument/2006/relationships/hyperlink" Target="https://dart.fss.or.kr/dsaf001/main.do?rcpNo=20260814003183" TargetMode="External" Id="rId102"/><Relationship Type="http://schemas.openxmlformats.org/officeDocument/2006/relationships/hyperlink" Target="https://dart.fss.or.kr/dsaf001/main.do?rcpNo=20260814002858" TargetMode="External" Id="rId103"/><Relationship Type="http://schemas.openxmlformats.org/officeDocument/2006/relationships/hyperlink" Target="https://dart.fss.or.kr/dsaf001/main.do?rcpNo=20260814002858" TargetMode="External" Id="rId104"/><Relationship Type="http://schemas.openxmlformats.org/officeDocument/2006/relationships/hyperlink" Target="https://dart.fss.or.kr/dsaf001/main.do?rcpNo=20260814002858" TargetMode="External" Id="rId105"/><Relationship Type="http://schemas.openxmlformats.org/officeDocument/2006/relationships/hyperlink" Target="https://dart.fss.or.kr/dsaf001/main.do?rcpNo=20260814002858" TargetMode="External" Id="rId106"/><Relationship Type="http://schemas.openxmlformats.org/officeDocument/2006/relationships/hyperlink" Target="https://dart.fss.or.kr/dsaf001/main.do?rcpNo=20260814002858" TargetMode="External" Id="rId107"/><Relationship Type="http://schemas.openxmlformats.org/officeDocument/2006/relationships/hyperlink" Target="https://dart.fss.or.kr/dsaf001/main.do?rcpNo=20260814000691" TargetMode="External" Id="rId108"/><Relationship Type="http://schemas.openxmlformats.org/officeDocument/2006/relationships/hyperlink" Target="https://dart.fss.or.kr/dsaf001/main.do?rcpNo=20260814000691" TargetMode="External" Id="rId109"/><Relationship Type="http://schemas.openxmlformats.org/officeDocument/2006/relationships/hyperlink" Target="https://dart.fss.or.kr/dsaf001/main.do?rcpNo=20260814000691" TargetMode="External" Id="rId110"/><Relationship Type="http://schemas.openxmlformats.org/officeDocument/2006/relationships/hyperlink" Target="https://dart.fss.or.kr/dsaf001/main.do?rcpNo=20260814000691" TargetMode="External" Id="rId111"/><Relationship Type="http://schemas.openxmlformats.org/officeDocument/2006/relationships/hyperlink" Target="https://dart.fss.or.kr/dsaf001/main.do?rcpNo=20260814000691" TargetMode="External" Id="rId112"/><Relationship Type="http://schemas.openxmlformats.org/officeDocument/2006/relationships/hyperlink" Target="https://dart.fss.or.kr/dsaf001/main.do?rcpNo=20260814000691" TargetMode="External" Id="rId113"/><Relationship Type="http://schemas.openxmlformats.org/officeDocument/2006/relationships/hyperlink" Target="https://dart.fss.or.kr/dsaf001/main.do?rcpNo=20260814001912" TargetMode="External" Id="rId114"/><Relationship Type="http://schemas.openxmlformats.org/officeDocument/2006/relationships/hyperlink" Target="https://dart.fss.or.kr/dsaf001/main.do?rcpNo=20260814001912" TargetMode="External" Id="rId115"/><Relationship Type="http://schemas.openxmlformats.org/officeDocument/2006/relationships/hyperlink" Target="https://dart.fss.or.kr/dsaf001/main.do?rcpNo=20260814001912" TargetMode="External" Id="rId116"/><Relationship Type="http://schemas.openxmlformats.org/officeDocument/2006/relationships/hyperlink" Target="https://dart.fss.or.kr/dsaf001/main.do?rcpNo=20260814001912" TargetMode="External" Id="rId117"/><Relationship Type="http://schemas.openxmlformats.org/officeDocument/2006/relationships/hyperlink" Target="https://dart.fss.or.kr/dsaf001/main.do?rcpNo=20260814002813" TargetMode="External" Id="rId118"/><Relationship Type="http://schemas.openxmlformats.org/officeDocument/2006/relationships/hyperlink" Target="https://dart.fss.or.kr/dsaf001/main.do?rcpNo=20260814002813" TargetMode="External" Id="rId119"/><Relationship Type="http://schemas.openxmlformats.org/officeDocument/2006/relationships/hyperlink" Target="https://dart.fss.or.kr/dsaf001/main.do?rcpNo=20260814002813" TargetMode="External" Id="rId120"/><Relationship Type="http://schemas.openxmlformats.org/officeDocument/2006/relationships/hyperlink" Target="https://dart.fss.or.kr/dsaf001/main.do?rcpNo=20260814002813" TargetMode="External" Id="rId121"/><Relationship Type="http://schemas.openxmlformats.org/officeDocument/2006/relationships/hyperlink" Target="https://dart.fss.or.kr/dsaf001/main.do?rcpNo=20260813000903" TargetMode="External" Id="rId122"/><Relationship Type="http://schemas.openxmlformats.org/officeDocument/2006/relationships/hyperlink" Target="https://dart.fss.or.kr/dsaf001/main.do?rcpNo=20260813000903" TargetMode="External" Id="rId123"/><Relationship Type="http://schemas.openxmlformats.org/officeDocument/2006/relationships/hyperlink" Target="https://dart.fss.or.kr/dsaf001/main.do?rcpNo=20260813000903" TargetMode="External" Id="rId124"/><Relationship Type="http://schemas.openxmlformats.org/officeDocument/2006/relationships/hyperlink" Target="https://dart.fss.or.kr/dsaf001/main.do?rcpNo=20260813000903" TargetMode="External" Id="rId125"/><Relationship Type="http://schemas.openxmlformats.org/officeDocument/2006/relationships/hyperlink" Target="https://dart.fss.or.kr/dsaf001/main.do?rcpNo=20260813000903" TargetMode="External" Id="rId126"/></Relationships>
</file>

<file path=xl/worksheets/_rels/sheet4.xml.rels><Relationships xmlns="http://schemas.openxmlformats.org/package/2006/relationships"><Relationship Type="http://schemas.openxmlformats.org/officeDocument/2006/relationships/hyperlink" Target="https://dart.fss.or.kr/dsaf001/main.do?rcpNo=20260814003699" TargetMode="External" Id="rId1"/><Relationship Type="http://schemas.openxmlformats.org/officeDocument/2006/relationships/hyperlink" Target="https://dart.fss.or.kr/dsaf001/main.do?rcpNo=20260310002820" TargetMode="External" Id="rId2"/><Relationship Type="http://schemas.openxmlformats.org/officeDocument/2006/relationships/hyperlink" Target="https://dart.fss.or.kr/dsaf001/main.do?rcpNo=20250814003156" TargetMode="External" Id="rId3"/><Relationship Type="http://schemas.openxmlformats.org/officeDocument/2006/relationships/hyperlink" Target="https://dart.fss.or.kr/dsaf001/main.do?rcpNo=20260814003699" TargetMode="External" Id="rId4"/><Relationship Type="http://schemas.openxmlformats.org/officeDocument/2006/relationships/hyperlink" Target="https://dart.fss.or.kr/dsaf001/main.do?rcpNo=20260310002820" TargetMode="External" Id="rId5"/><Relationship Type="http://schemas.openxmlformats.org/officeDocument/2006/relationships/hyperlink" Target="https://dart.fss.or.kr/dsaf001/main.do?rcpNo=20250814003156" TargetMode="External" Id="rId6"/><Relationship Type="http://schemas.openxmlformats.org/officeDocument/2006/relationships/hyperlink" Target="https://dart.fss.or.kr/dsaf001/main.do?rcpNo=20260814003699" TargetMode="External" Id="rId7"/><Relationship Type="http://schemas.openxmlformats.org/officeDocument/2006/relationships/hyperlink" Target="https://dart.fss.or.kr/dsaf001/main.do?rcpNo=20260310002820" TargetMode="External" Id="rId8"/><Relationship Type="http://schemas.openxmlformats.org/officeDocument/2006/relationships/hyperlink" Target="https://dart.fss.or.kr/dsaf001/main.do?rcpNo=20250814003156" TargetMode="External" Id="rId9"/><Relationship Type="http://schemas.openxmlformats.org/officeDocument/2006/relationships/hyperlink" Target="https://dart.fss.or.kr/dsaf001/main.do?rcpNo=20260814003699" TargetMode="External" Id="rId10"/><Relationship Type="http://schemas.openxmlformats.org/officeDocument/2006/relationships/hyperlink" Target="https://dart.fss.or.kr/dsaf001/main.do?rcpNo=20260310002820" TargetMode="External" Id="rId11"/><Relationship Type="http://schemas.openxmlformats.org/officeDocument/2006/relationships/hyperlink" Target="https://dart.fss.or.kr/dsaf001/main.do?rcpNo=20250814003156" TargetMode="External" Id="rId12"/><Relationship Type="http://schemas.openxmlformats.org/officeDocument/2006/relationships/hyperlink" Target="https://dart.fss.or.kr/dsaf001/main.do?rcpNo=20260814003699" TargetMode="External" Id="rId13"/><Relationship Type="http://schemas.openxmlformats.org/officeDocument/2006/relationships/hyperlink" Target="https://dart.fss.or.kr/dsaf001/main.do?rcpNo=20260310002820" TargetMode="External" Id="rId14"/><Relationship Type="http://schemas.openxmlformats.org/officeDocument/2006/relationships/hyperlink" Target="https://dart.fss.or.kr/dsaf001/main.do?rcpNo=20250814003156" TargetMode="External" Id="rId15"/><Relationship Type="http://schemas.openxmlformats.org/officeDocument/2006/relationships/hyperlink" Target="https://dart.fss.or.kr/dsaf001/main.do?rcpNo=20260814003699" TargetMode="External" Id="rId16"/><Relationship Type="http://schemas.openxmlformats.org/officeDocument/2006/relationships/hyperlink" Target="https://dart.fss.or.kr/dsaf001/main.do?rcpNo=20260310002820" TargetMode="External" Id="rId17"/><Relationship Type="http://schemas.openxmlformats.org/officeDocument/2006/relationships/hyperlink" Target="https://dart.fss.or.kr/dsaf001/main.do?rcpNo=20250814003156" TargetMode="External" Id="rId18"/><Relationship Type="http://schemas.openxmlformats.org/officeDocument/2006/relationships/hyperlink" Target="https://dart.fss.or.kr/dsaf001/main.do?rcpNo=20260814003699" TargetMode="External" Id="rId19"/><Relationship Type="http://schemas.openxmlformats.org/officeDocument/2006/relationships/hyperlink" Target="https://dart.fss.or.kr/dsaf001/main.do?rcpNo=20250814003156" TargetMode="External" Id="rId20"/><Relationship Type="http://schemas.openxmlformats.org/officeDocument/2006/relationships/hyperlink" Target="https://dart.fss.or.kr/dsaf001/main.do?rcpNo=20260814003699" TargetMode="External" Id="rId21"/><Relationship Type="http://schemas.openxmlformats.org/officeDocument/2006/relationships/hyperlink" Target="https://dart.fss.or.kr/dsaf001/main.do?rcpNo=20250814003156" TargetMode="External" Id="rId22"/><Relationship Type="http://schemas.openxmlformats.org/officeDocument/2006/relationships/hyperlink" Target="https://dart.fss.or.kr/dsaf001/main.do?rcpNo=20260814003699" TargetMode="External" Id="rId23"/><Relationship Type="http://schemas.openxmlformats.org/officeDocument/2006/relationships/hyperlink" Target="https://dart.fss.or.kr/dsaf001/main.do?rcpNo=20250814003156" TargetMode="External" Id="rId24"/><Relationship Type="http://schemas.openxmlformats.org/officeDocument/2006/relationships/hyperlink" Target="https://dart.fss.or.kr/dsaf001/main.do?rcpNo=20260814003699" TargetMode="External" Id="rId25"/><Relationship Type="http://schemas.openxmlformats.org/officeDocument/2006/relationships/hyperlink" Target="https://dart.fss.or.kr/dsaf001/main.do?rcpNo=20250814003156" TargetMode="External" Id="rId26"/><Relationship Type="http://schemas.openxmlformats.org/officeDocument/2006/relationships/hyperlink" Target="https://dart.fss.or.kr/dsaf001/main.do?rcpNo=20260814003699" TargetMode="External" Id="rId27"/><Relationship Type="http://schemas.openxmlformats.org/officeDocument/2006/relationships/hyperlink" Target="https://dart.fss.or.kr/dsaf001/main.do?rcpNo=20250814003156" TargetMode="External" Id="rId28"/><Relationship Type="http://schemas.openxmlformats.org/officeDocument/2006/relationships/hyperlink" Target="https://dart.fss.or.kr/dsaf001/main.do?rcpNo=20260814003509" TargetMode="External" Id="rId29"/><Relationship Type="http://schemas.openxmlformats.org/officeDocument/2006/relationships/hyperlink" Target="https://dart.fss.or.kr/dsaf001/main.do?rcpNo=20260317000635" TargetMode="External" Id="rId30"/><Relationship Type="http://schemas.openxmlformats.org/officeDocument/2006/relationships/hyperlink" Target="https://dart.fss.or.kr/dsaf001/main.do?rcpNo=20250814003049" TargetMode="External" Id="rId31"/><Relationship Type="http://schemas.openxmlformats.org/officeDocument/2006/relationships/hyperlink" Target="https://dart.fss.or.kr/dsaf001/main.do?rcpNo=20260814003509" TargetMode="External" Id="rId32"/><Relationship Type="http://schemas.openxmlformats.org/officeDocument/2006/relationships/hyperlink" Target="https://dart.fss.or.kr/dsaf001/main.do?rcpNo=20260317000635" TargetMode="External" Id="rId33"/><Relationship Type="http://schemas.openxmlformats.org/officeDocument/2006/relationships/hyperlink" Target="https://dart.fss.or.kr/dsaf001/main.do?rcpNo=20250814003049" TargetMode="External" Id="rId34"/><Relationship Type="http://schemas.openxmlformats.org/officeDocument/2006/relationships/hyperlink" Target="https://dart.fss.or.kr/dsaf001/main.do?rcpNo=20260814003509" TargetMode="External" Id="rId35"/><Relationship Type="http://schemas.openxmlformats.org/officeDocument/2006/relationships/hyperlink" Target="https://dart.fss.or.kr/dsaf001/main.do?rcpNo=20260317000635" TargetMode="External" Id="rId36"/><Relationship Type="http://schemas.openxmlformats.org/officeDocument/2006/relationships/hyperlink" Target="https://dart.fss.or.kr/dsaf001/main.do?rcpNo=20250814003049" TargetMode="External" Id="rId37"/><Relationship Type="http://schemas.openxmlformats.org/officeDocument/2006/relationships/hyperlink" Target="https://dart.fss.or.kr/dsaf001/main.do?rcpNo=20260814003509" TargetMode="External" Id="rId38"/><Relationship Type="http://schemas.openxmlformats.org/officeDocument/2006/relationships/hyperlink" Target="https://dart.fss.or.kr/dsaf001/main.do?rcpNo=20260317000635" TargetMode="External" Id="rId39"/><Relationship Type="http://schemas.openxmlformats.org/officeDocument/2006/relationships/hyperlink" Target="https://dart.fss.or.kr/dsaf001/main.do?rcpNo=20250814003049" TargetMode="External" Id="rId40"/><Relationship Type="http://schemas.openxmlformats.org/officeDocument/2006/relationships/hyperlink" Target="https://dart.fss.or.kr/dsaf001/main.do?rcpNo=20260814003509" TargetMode="External" Id="rId41"/><Relationship Type="http://schemas.openxmlformats.org/officeDocument/2006/relationships/hyperlink" Target="https://dart.fss.or.kr/dsaf001/main.do?rcpNo=20260317000635" TargetMode="External" Id="rId42"/><Relationship Type="http://schemas.openxmlformats.org/officeDocument/2006/relationships/hyperlink" Target="https://dart.fss.or.kr/dsaf001/main.do?rcpNo=20250814003049" TargetMode="External" Id="rId43"/><Relationship Type="http://schemas.openxmlformats.org/officeDocument/2006/relationships/hyperlink" Target="https://dart.fss.or.kr/dsaf001/main.do?rcpNo=20260814003509" TargetMode="External" Id="rId44"/><Relationship Type="http://schemas.openxmlformats.org/officeDocument/2006/relationships/hyperlink" Target="https://dart.fss.or.kr/dsaf001/main.do?rcpNo=20260317000635" TargetMode="External" Id="rId45"/><Relationship Type="http://schemas.openxmlformats.org/officeDocument/2006/relationships/hyperlink" Target="https://dart.fss.or.kr/dsaf001/main.do?rcpNo=20250814003049" TargetMode="External" Id="rId46"/><Relationship Type="http://schemas.openxmlformats.org/officeDocument/2006/relationships/hyperlink" Target="https://dart.fss.or.kr/dsaf001/main.do?rcpNo=20260814003509" TargetMode="External" Id="rId47"/><Relationship Type="http://schemas.openxmlformats.org/officeDocument/2006/relationships/hyperlink" Target="https://dart.fss.or.kr/dsaf001/main.do?rcpNo=20250814003049" TargetMode="External" Id="rId48"/><Relationship Type="http://schemas.openxmlformats.org/officeDocument/2006/relationships/hyperlink" Target="https://dart.fss.or.kr/dsaf001/main.do?rcpNo=20260814003509" TargetMode="External" Id="rId49"/><Relationship Type="http://schemas.openxmlformats.org/officeDocument/2006/relationships/hyperlink" Target="https://dart.fss.or.kr/dsaf001/main.do?rcpNo=20250814003049" TargetMode="External" Id="rId50"/><Relationship Type="http://schemas.openxmlformats.org/officeDocument/2006/relationships/hyperlink" Target="https://dart.fss.or.kr/dsaf001/main.do?rcpNo=20260814003509" TargetMode="External" Id="rId51"/><Relationship Type="http://schemas.openxmlformats.org/officeDocument/2006/relationships/hyperlink" Target="https://dart.fss.or.kr/dsaf001/main.do?rcpNo=20250814003049" TargetMode="External" Id="rId52"/><Relationship Type="http://schemas.openxmlformats.org/officeDocument/2006/relationships/hyperlink" Target="https://dart.fss.or.kr/dsaf001/main.do?rcpNo=20260814003509" TargetMode="External" Id="rId53"/><Relationship Type="http://schemas.openxmlformats.org/officeDocument/2006/relationships/hyperlink" Target="https://dart.fss.or.kr/dsaf001/main.do?rcpNo=20250814003049" TargetMode="External" Id="rId54"/><Relationship Type="http://schemas.openxmlformats.org/officeDocument/2006/relationships/hyperlink" Target="https://dart.fss.or.kr/dsaf001/main.do?rcpNo=20260814003509" TargetMode="External" Id="rId55"/><Relationship Type="http://schemas.openxmlformats.org/officeDocument/2006/relationships/hyperlink" Target="https://dart.fss.or.kr/dsaf001/main.do?rcpNo=20250814003049" TargetMode="External" Id="rId56"/><Relationship Type="http://schemas.openxmlformats.org/officeDocument/2006/relationships/hyperlink" Target="https://dart.fss.or.kr/dsaf001/main.do?rcpNo=20260814003521" TargetMode="External" Id="rId57"/><Relationship Type="http://schemas.openxmlformats.org/officeDocument/2006/relationships/hyperlink" Target="https://dart.fss.or.kr/dsaf001/main.do?rcpNo=20260318001394" TargetMode="External" Id="rId58"/><Relationship Type="http://schemas.openxmlformats.org/officeDocument/2006/relationships/hyperlink" Target="https://dart.fss.or.kr/dsaf001/main.do?rcpNo=20250814003906" TargetMode="External" Id="rId59"/><Relationship Type="http://schemas.openxmlformats.org/officeDocument/2006/relationships/hyperlink" Target="https://dart.fss.or.kr/dsaf001/main.do?rcpNo=20260814003521" TargetMode="External" Id="rId60"/><Relationship Type="http://schemas.openxmlformats.org/officeDocument/2006/relationships/hyperlink" Target="https://dart.fss.or.kr/dsaf001/main.do?rcpNo=20260318001394" TargetMode="External" Id="rId61"/><Relationship Type="http://schemas.openxmlformats.org/officeDocument/2006/relationships/hyperlink" Target="https://dart.fss.or.kr/dsaf001/main.do?rcpNo=20250814003906" TargetMode="External" Id="rId62"/><Relationship Type="http://schemas.openxmlformats.org/officeDocument/2006/relationships/hyperlink" Target="https://dart.fss.or.kr/dsaf001/main.do?rcpNo=20260814003521" TargetMode="External" Id="rId63"/><Relationship Type="http://schemas.openxmlformats.org/officeDocument/2006/relationships/hyperlink" Target="https://dart.fss.or.kr/dsaf001/main.do?rcpNo=20260318001394" TargetMode="External" Id="rId64"/><Relationship Type="http://schemas.openxmlformats.org/officeDocument/2006/relationships/hyperlink" Target="https://dart.fss.or.kr/dsaf001/main.do?rcpNo=20250814003906" TargetMode="External" Id="rId65"/><Relationship Type="http://schemas.openxmlformats.org/officeDocument/2006/relationships/hyperlink" Target="https://dart.fss.or.kr/dsaf001/main.do?rcpNo=20260814003521" TargetMode="External" Id="rId66"/><Relationship Type="http://schemas.openxmlformats.org/officeDocument/2006/relationships/hyperlink" Target="https://dart.fss.or.kr/dsaf001/main.do?rcpNo=20260318001394" TargetMode="External" Id="rId67"/><Relationship Type="http://schemas.openxmlformats.org/officeDocument/2006/relationships/hyperlink" Target="https://dart.fss.or.kr/dsaf001/main.do?rcpNo=20250814003906" TargetMode="External" Id="rId68"/><Relationship Type="http://schemas.openxmlformats.org/officeDocument/2006/relationships/hyperlink" Target="https://dart.fss.or.kr/dsaf001/main.do?rcpNo=20260814003521" TargetMode="External" Id="rId69"/><Relationship Type="http://schemas.openxmlformats.org/officeDocument/2006/relationships/hyperlink" Target="https://dart.fss.or.kr/dsaf001/main.do?rcpNo=20260318001394" TargetMode="External" Id="rId70"/><Relationship Type="http://schemas.openxmlformats.org/officeDocument/2006/relationships/hyperlink" Target="https://dart.fss.or.kr/dsaf001/main.do?rcpNo=20250814003906" TargetMode="External" Id="rId71"/><Relationship Type="http://schemas.openxmlformats.org/officeDocument/2006/relationships/hyperlink" Target="https://dart.fss.or.kr/dsaf001/main.do?rcpNo=20260814003521" TargetMode="External" Id="rId72"/><Relationship Type="http://schemas.openxmlformats.org/officeDocument/2006/relationships/hyperlink" Target="https://dart.fss.or.kr/dsaf001/main.do?rcpNo=20260318001394" TargetMode="External" Id="rId73"/><Relationship Type="http://schemas.openxmlformats.org/officeDocument/2006/relationships/hyperlink" Target="https://dart.fss.or.kr/dsaf001/main.do?rcpNo=20250814003906" TargetMode="External" Id="rId74"/><Relationship Type="http://schemas.openxmlformats.org/officeDocument/2006/relationships/hyperlink" Target="https://dart.fss.or.kr/dsaf001/main.do?rcpNo=20260814003521" TargetMode="External" Id="rId75"/><Relationship Type="http://schemas.openxmlformats.org/officeDocument/2006/relationships/hyperlink" Target="https://dart.fss.or.kr/dsaf001/main.do?rcpNo=20250814003906" TargetMode="External" Id="rId76"/><Relationship Type="http://schemas.openxmlformats.org/officeDocument/2006/relationships/hyperlink" Target="https://dart.fss.or.kr/dsaf001/main.do?rcpNo=20260814003521" TargetMode="External" Id="rId77"/><Relationship Type="http://schemas.openxmlformats.org/officeDocument/2006/relationships/hyperlink" Target="https://dart.fss.or.kr/dsaf001/main.do?rcpNo=20250814003906" TargetMode="External" Id="rId78"/><Relationship Type="http://schemas.openxmlformats.org/officeDocument/2006/relationships/hyperlink" Target="https://dart.fss.or.kr/dsaf001/main.do?rcpNo=20260814003521" TargetMode="External" Id="rId79"/><Relationship Type="http://schemas.openxmlformats.org/officeDocument/2006/relationships/hyperlink" Target="https://dart.fss.or.kr/dsaf001/main.do?rcpNo=20250814003906" TargetMode="External" Id="rId80"/><Relationship Type="http://schemas.openxmlformats.org/officeDocument/2006/relationships/hyperlink" Target="https://dart.fss.or.kr/dsaf001/main.do?rcpNo=20260814003521" TargetMode="External" Id="rId81"/><Relationship Type="http://schemas.openxmlformats.org/officeDocument/2006/relationships/hyperlink" Target="https://dart.fss.or.kr/dsaf001/main.do?rcpNo=20250814003906" TargetMode="External" Id="rId82"/><Relationship Type="http://schemas.openxmlformats.org/officeDocument/2006/relationships/hyperlink" Target="https://dart.fss.or.kr/dsaf001/main.do?rcpNo=20260814003521" TargetMode="External" Id="rId83"/><Relationship Type="http://schemas.openxmlformats.org/officeDocument/2006/relationships/hyperlink" Target="https://dart.fss.or.kr/dsaf001/main.do?rcpNo=20250814003906" TargetMode="External" Id="rId84"/><Relationship Type="http://schemas.openxmlformats.org/officeDocument/2006/relationships/hyperlink" Target="https://dart.fss.or.kr/dsaf001/main.do?rcpNo=20260814002266" TargetMode="External" Id="rId85"/><Relationship Type="http://schemas.openxmlformats.org/officeDocument/2006/relationships/hyperlink" Target="https://dart.fss.or.kr/dsaf001/main.do?rcpNo=20260313001021" TargetMode="External" Id="rId86"/><Relationship Type="http://schemas.openxmlformats.org/officeDocument/2006/relationships/hyperlink" Target="https://dart.fss.or.kr/dsaf001/main.do?rcpNo=20250814002281" TargetMode="External" Id="rId87"/><Relationship Type="http://schemas.openxmlformats.org/officeDocument/2006/relationships/hyperlink" Target="https://dart.fss.or.kr/dsaf001/main.do?rcpNo=20260814002266" TargetMode="External" Id="rId88"/><Relationship Type="http://schemas.openxmlformats.org/officeDocument/2006/relationships/hyperlink" Target="https://dart.fss.or.kr/dsaf001/main.do?rcpNo=20260313001021" TargetMode="External" Id="rId89"/><Relationship Type="http://schemas.openxmlformats.org/officeDocument/2006/relationships/hyperlink" Target="https://dart.fss.or.kr/dsaf001/main.do?rcpNo=20250814002281" TargetMode="External" Id="rId90"/><Relationship Type="http://schemas.openxmlformats.org/officeDocument/2006/relationships/hyperlink" Target="https://dart.fss.or.kr/dsaf001/main.do?rcpNo=20260814002266" TargetMode="External" Id="rId91"/><Relationship Type="http://schemas.openxmlformats.org/officeDocument/2006/relationships/hyperlink" Target="https://dart.fss.or.kr/dsaf001/main.do?rcpNo=20260313001021" TargetMode="External" Id="rId92"/><Relationship Type="http://schemas.openxmlformats.org/officeDocument/2006/relationships/hyperlink" Target="https://dart.fss.or.kr/dsaf001/main.do?rcpNo=20250814002281" TargetMode="External" Id="rId93"/><Relationship Type="http://schemas.openxmlformats.org/officeDocument/2006/relationships/hyperlink" Target="https://dart.fss.or.kr/dsaf001/main.do?rcpNo=20260814002266" TargetMode="External" Id="rId94"/><Relationship Type="http://schemas.openxmlformats.org/officeDocument/2006/relationships/hyperlink" Target="https://dart.fss.or.kr/dsaf001/main.do?rcpNo=20260313001021" TargetMode="External" Id="rId95"/><Relationship Type="http://schemas.openxmlformats.org/officeDocument/2006/relationships/hyperlink" Target="https://dart.fss.or.kr/dsaf001/main.do?rcpNo=20250814002281" TargetMode="External" Id="rId96"/><Relationship Type="http://schemas.openxmlformats.org/officeDocument/2006/relationships/hyperlink" Target="https://dart.fss.or.kr/dsaf001/main.do?rcpNo=20260814002266" TargetMode="External" Id="rId97"/><Relationship Type="http://schemas.openxmlformats.org/officeDocument/2006/relationships/hyperlink" Target="https://dart.fss.or.kr/dsaf001/main.do?rcpNo=20260313001021" TargetMode="External" Id="rId98"/><Relationship Type="http://schemas.openxmlformats.org/officeDocument/2006/relationships/hyperlink" Target="https://dart.fss.or.kr/dsaf001/main.do?rcpNo=20250814002281" TargetMode="External" Id="rId99"/><Relationship Type="http://schemas.openxmlformats.org/officeDocument/2006/relationships/hyperlink" Target="https://dart.fss.or.kr/dsaf001/main.do?rcpNo=20260814002266" TargetMode="External" Id="rId100"/><Relationship Type="http://schemas.openxmlformats.org/officeDocument/2006/relationships/hyperlink" Target="https://dart.fss.or.kr/dsaf001/main.do?rcpNo=20260313001021" TargetMode="External" Id="rId101"/><Relationship Type="http://schemas.openxmlformats.org/officeDocument/2006/relationships/hyperlink" Target="https://dart.fss.or.kr/dsaf001/main.do?rcpNo=20250814002281" TargetMode="External" Id="rId102"/><Relationship Type="http://schemas.openxmlformats.org/officeDocument/2006/relationships/hyperlink" Target="https://dart.fss.or.kr/dsaf001/main.do?rcpNo=20260814002266" TargetMode="External" Id="rId103"/><Relationship Type="http://schemas.openxmlformats.org/officeDocument/2006/relationships/hyperlink" Target="https://dart.fss.or.kr/dsaf001/main.do?rcpNo=20250814002281" TargetMode="External" Id="rId104"/><Relationship Type="http://schemas.openxmlformats.org/officeDocument/2006/relationships/hyperlink" Target="https://dart.fss.or.kr/dsaf001/main.do?rcpNo=20260814002266" TargetMode="External" Id="rId105"/><Relationship Type="http://schemas.openxmlformats.org/officeDocument/2006/relationships/hyperlink" Target="https://dart.fss.or.kr/dsaf001/main.do?rcpNo=20250814002281" TargetMode="External" Id="rId106"/><Relationship Type="http://schemas.openxmlformats.org/officeDocument/2006/relationships/hyperlink" Target="https://dart.fss.or.kr/dsaf001/main.do?rcpNo=20260814002266" TargetMode="External" Id="rId107"/><Relationship Type="http://schemas.openxmlformats.org/officeDocument/2006/relationships/hyperlink" Target="https://dart.fss.or.kr/dsaf001/main.do?rcpNo=20250814002281" TargetMode="External" Id="rId108"/><Relationship Type="http://schemas.openxmlformats.org/officeDocument/2006/relationships/hyperlink" Target="https://dart.fss.or.kr/dsaf001/main.do?rcpNo=20260814002266" TargetMode="External" Id="rId109"/><Relationship Type="http://schemas.openxmlformats.org/officeDocument/2006/relationships/hyperlink" Target="https://dart.fss.or.kr/dsaf001/main.do?rcpNo=20250814002281" TargetMode="External" Id="rId110"/><Relationship Type="http://schemas.openxmlformats.org/officeDocument/2006/relationships/hyperlink" Target="https://dart.fss.or.kr/dsaf001/main.do?rcpNo=20260814002266" TargetMode="External" Id="rId111"/><Relationship Type="http://schemas.openxmlformats.org/officeDocument/2006/relationships/hyperlink" Target="https://dart.fss.or.kr/dsaf001/main.do?rcpNo=20250814002281" TargetMode="External" Id="rId112"/><Relationship Type="http://schemas.openxmlformats.org/officeDocument/2006/relationships/hyperlink" Target="https://dart.fss.or.kr/dsaf001/main.do?rcpNo=20260814002655" TargetMode="External" Id="rId113"/><Relationship Type="http://schemas.openxmlformats.org/officeDocument/2006/relationships/hyperlink" Target="https://dart.fss.or.kr/dsaf001/main.do?rcpNo=20260313001195" TargetMode="External" Id="rId114"/><Relationship Type="http://schemas.openxmlformats.org/officeDocument/2006/relationships/hyperlink" Target="https://dart.fss.or.kr/dsaf001/main.do?rcpNo=20250814003066" TargetMode="External" Id="rId115"/><Relationship Type="http://schemas.openxmlformats.org/officeDocument/2006/relationships/hyperlink" Target="https://dart.fss.or.kr/dsaf001/main.do?rcpNo=20260814002655" TargetMode="External" Id="rId116"/><Relationship Type="http://schemas.openxmlformats.org/officeDocument/2006/relationships/hyperlink" Target="https://dart.fss.or.kr/dsaf001/main.do?rcpNo=20260313001195" TargetMode="External" Id="rId117"/><Relationship Type="http://schemas.openxmlformats.org/officeDocument/2006/relationships/hyperlink" Target="https://dart.fss.or.kr/dsaf001/main.do?rcpNo=20250814003066" TargetMode="External" Id="rId118"/><Relationship Type="http://schemas.openxmlformats.org/officeDocument/2006/relationships/hyperlink" Target="https://dart.fss.or.kr/dsaf001/main.do?rcpNo=20260814002655" TargetMode="External" Id="rId119"/><Relationship Type="http://schemas.openxmlformats.org/officeDocument/2006/relationships/hyperlink" Target="https://dart.fss.or.kr/dsaf001/main.do?rcpNo=20260313001195" TargetMode="External" Id="rId120"/><Relationship Type="http://schemas.openxmlformats.org/officeDocument/2006/relationships/hyperlink" Target="https://dart.fss.or.kr/dsaf001/main.do?rcpNo=20250814003066" TargetMode="External" Id="rId121"/><Relationship Type="http://schemas.openxmlformats.org/officeDocument/2006/relationships/hyperlink" Target="https://dart.fss.or.kr/dsaf001/main.do?rcpNo=20260814002655" TargetMode="External" Id="rId122"/><Relationship Type="http://schemas.openxmlformats.org/officeDocument/2006/relationships/hyperlink" Target="https://dart.fss.or.kr/dsaf001/main.do?rcpNo=20260313001195" TargetMode="External" Id="rId123"/><Relationship Type="http://schemas.openxmlformats.org/officeDocument/2006/relationships/hyperlink" Target="https://dart.fss.or.kr/dsaf001/main.do?rcpNo=20250814003066" TargetMode="External" Id="rId124"/><Relationship Type="http://schemas.openxmlformats.org/officeDocument/2006/relationships/hyperlink" Target="https://dart.fss.or.kr/dsaf001/main.do?rcpNo=20260814002655" TargetMode="External" Id="rId125"/><Relationship Type="http://schemas.openxmlformats.org/officeDocument/2006/relationships/hyperlink" Target="https://dart.fss.or.kr/dsaf001/main.do?rcpNo=20260313001195" TargetMode="External" Id="rId126"/><Relationship Type="http://schemas.openxmlformats.org/officeDocument/2006/relationships/hyperlink" Target="https://dart.fss.or.kr/dsaf001/main.do?rcpNo=20250814003066" TargetMode="External" Id="rId127"/><Relationship Type="http://schemas.openxmlformats.org/officeDocument/2006/relationships/hyperlink" Target="https://dart.fss.or.kr/dsaf001/main.do?rcpNo=20260814002655" TargetMode="External" Id="rId128"/><Relationship Type="http://schemas.openxmlformats.org/officeDocument/2006/relationships/hyperlink" Target="https://dart.fss.or.kr/dsaf001/main.do?rcpNo=20260313001195" TargetMode="External" Id="rId129"/><Relationship Type="http://schemas.openxmlformats.org/officeDocument/2006/relationships/hyperlink" Target="https://dart.fss.or.kr/dsaf001/main.do?rcpNo=20250814003066" TargetMode="External" Id="rId130"/><Relationship Type="http://schemas.openxmlformats.org/officeDocument/2006/relationships/hyperlink" Target="https://dart.fss.or.kr/dsaf001/main.do?rcpNo=20260814002655" TargetMode="External" Id="rId131"/><Relationship Type="http://schemas.openxmlformats.org/officeDocument/2006/relationships/hyperlink" Target="https://dart.fss.or.kr/dsaf001/main.do?rcpNo=20250814003066" TargetMode="External" Id="rId132"/><Relationship Type="http://schemas.openxmlformats.org/officeDocument/2006/relationships/hyperlink" Target="https://dart.fss.or.kr/dsaf001/main.do?rcpNo=20260814002655" TargetMode="External" Id="rId133"/><Relationship Type="http://schemas.openxmlformats.org/officeDocument/2006/relationships/hyperlink" Target="https://dart.fss.or.kr/dsaf001/main.do?rcpNo=20250814003066" TargetMode="External" Id="rId134"/><Relationship Type="http://schemas.openxmlformats.org/officeDocument/2006/relationships/hyperlink" Target="https://dart.fss.or.kr/dsaf001/main.do?rcpNo=20260814002655" TargetMode="External" Id="rId135"/><Relationship Type="http://schemas.openxmlformats.org/officeDocument/2006/relationships/hyperlink" Target="https://dart.fss.or.kr/dsaf001/main.do?rcpNo=20250814003066" TargetMode="External" Id="rId136"/><Relationship Type="http://schemas.openxmlformats.org/officeDocument/2006/relationships/hyperlink" Target="https://dart.fss.or.kr/dsaf001/main.do?rcpNo=20260814002655" TargetMode="External" Id="rId137"/><Relationship Type="http://schemas.openxmlformats.org/officeDocument/2006/relationships/hyperlink" Target="https://dart.fss.or.kr/dsaf001/main.do?rcpNo=20250814003066" TargetMode="External" Id="rId138"/><Relationship Type="http://schemas.openxmlformats.org/officeDocument/2006/relationships/hyperlink" Target="https://dart.fss.or.kr/dsaf001/main.do?rcpNo=20260814002655" TargetMode="External" Id="rId139"/><Relationship Type="http://schemas.openxmlformats.org/officeDocument/2006/relationships/hyperlink" Target="https://dart.fss.or.kr/dsaf001/main.do?rcpNo=20250814003066" TargetMode="External" Id="rId140"/><Relationship Type="http://schemas.openxmlformats.org/officeDocument/2006/relationships/hyperlink" Target="https://dart.fss.or.kr/dsaf001/main.do?rcpNo=20260819000055" TargetMode="External" Id="rId141"/><Relationship Type="http://schemas.openxmlformats.org/officeDocument/2006/relationships/hyperlink" Target="https://dart.fss.or.kr/dsaf001/main.do?rcpNo=20260318001423" TargetMode="External" Id="rId142"/><Relationship Type="http://schemas.openxmlformats.org/officeDocument/2006/relationships/hyperlink" Target="https://dart.fss.or.kr/dsaf001/main.do?rcpNo=20250814003953" TargetMode="External" Id="rId143"/><Relationship Type="http://schemas.openxmlformats.org/officeDocument/2006/relationships/hyperlink" Target="https://dart.fss.or.kr/dsaf001/main.do?rcpNo=20260819000055" TargetMode="External" Id="rId144"/><Relationship Type="http://schemas.openxmlformats.org/officeDocument/2006/relationships/hyperlink" Target="https://dart.fss.or.kr/dsaf001/main.do?rcpNo=20260318001423" TargetMode="External" Id="rId145"/><Relationship Type="http://schemas.openxmlformats.org/officeDocument/2006/relationships/hyperlink" Target="https://dart.fss.or.kr/dsaf001/main.do?rcpNo=20250814003953" TargetMode="External" Id="rId146"/><Relationship Type="http://schemas.openxmlformats.org/officeDocument/2006/relationships/hyperlink" Target="https://dart.fss.or.kr/dsaf001/main.do?rcpNo=20260819000055" TargetMode="External" Id="rId147"/><Relationship Type="http://schemas.openxmlformats.org/officeDocument/2006/relationships/hyperlink" Target="https://dart.fss.or.kr/dsaf001/main.do?rcpNo=20260318001423" TargetMode="External" Id="rId148"/><Relationship Type="http://schemas.openxmlformats.org/officeDocument/2006/relationships/hyperlink" Target="https://dart.fss.or.kr/dsaf001/main.do?rcpNo=20250814003953" TargetMode="External" Id="rId149"/><Relationship Type="http://schemas.openxmlformats.org/officeDocument/2006/relationships/hyperlink" Target="https://dart.fss.or.kr/dsaf001/main.do?rcpNo=20260819000055" TargetMode="External" Id="rId150"/><Relationship Type="http://schemas.openxmlformats.org/officeDocument/2006/relationships/hyperlink" Target="https://dart.fss.or.kr/dsaf001/main.do?rcpNo=20260318001423" TargetMode="External" Id="rId151"/><Relationship Type="http://schemas.openxmlformats.org/officeDocument/2006/relationships/hyperlink" Target="https://dart.fss.or.kr/dsaf001/main.do?rcpNo=20250814003953" TargetMode="External" Id="rId152"/><Relationship Type="http://schemas.openxmlformats.org/officeDocument/2006/relationships/hyperlink" Target="https://dart.fss.or.kr/dsaf001/main.do?rcpNo=20260819000055" TargetMode="External" Id="rId153"/><Relationship Type="http://schemas.openxmlformats.org/officeDocument/2006/relationships/hyperlink" Target="https://dart.fss.or.kr/dsaf001/main.do?rcpNo=20260318001423" TargetMode="External" Id="rId154"/><Relationship Type="http://schemas.openxmlformats.org/officeDocument/2006/relationships/hyperlink" Target="https://dart.fss.or.kr/dsaf001/main.do?rcpNo=20250814003953" TargetMode="External" Id="rId155"/><Relationship Type="http://schemas.openxmlformats.org/officeDocument/2006/relationships/hyperlink" Target="https://dart.fss.or.kr/dsaf001/main.do?rcpNo=20260819000055" TargetMode="External" Id="rId156"/><Relationship Type="http://schemas.openxmlformats.org/officeDocument/2006/relationships/hyperlink" Target="https://dart.fss.or.kr/dsaf001/main.do?rcpNo=20260318001423" TargetMode="External" Id="rId157"/><Relationship Type="http://schemas.openxmlformats.org/officeDocument/2006/relationships/hyperlink" Target="https://dart.fss.or.kr/dsaf001/main.do?rcpNo=20250814003953" TargetMode="External" Id="rId158"/><Relationship Type="http://schemas.openxmlformats.org/officeDocument/2006/relationships/hyperlink" Target="https://dart.fss.or.kr/dsaf001/main.do?rcpNo=20260819000055" TargetMode="External" Id="rId159"/><Relationship Type="http://schemas.openxmlformats.org/officeDocument/2006/relationships/hyperlink" Target="https://dart.fss.or.kr/dsaf001/main.do?rcpNo=20250814003953" TargetMode="External" Id="rId160"/><Relationship Type="http://schemas.openxmlformats.org/officeDocument/2006/relationships/hyperlink" Target="https://dart.fss.or.kr/dsaf001/main.do?rcpNo=20260819000055" TargetMode="External" Id="rId161"/><Relationship Type="http://schemas.openxmlformats.org/officeDocument/2006/relationships/hyperlink" Target="https://dart.fss.or.kr/dsaf001/main.do?rcpNo=20250814003953" TargetMode="External" Id="rId162"/><Relationship Type="http://schemas.openxmlformats.org/officeDocument/2006/relationships/hyperlink" Target="https://dart.fss.or.kr/dsaf001/main.do?rcpNo=20260819000055" TargetMode="External" Id="rId163"/><Relationship Type="http://schemas.openxmlformats.org/officeDocument/2006/relationships/hyperlink" Target="https://dart.fss.or.kr/dsaf001/main.do?rcpNo=20250814003953" TargetMode="External" Id="rId164"/><Relationship Type="http://schemas.openxmlformats.org/officeDocument/2006/relationships/hyperlink" Target="https://dart.fss.or.kr/dsaf001/main.do?rcpNo=20260819000055" TargetMode="External" Id="rId165"/><Relationship Type="http://schemas.openxmlformats.org/officeDocument/2006/relationships/hyperlink" Target="https://dart.fss.or.kr/dsaf001/main.do?rcpNo=20250814003953" TargetMode="External" Id="rId166"/><Relationship Type="http://schemas.openxmlformats.org/officeDocument/2006/relationships/hyperlink" Target="https://dart.fss.or.kr/dsaf001/main.do?rcpNo=20260819000055" TargetMode="External" Id="rId167"/><Relationship Type="http://schemas.openxmlformats.org/officeDocument/2006/relationships/hyperlink" Target="https://dart.fss.or.kr/dsaf001/main.do?rcpNo=20250814003953" TargetMode="External" Id="rId168"/><Relationship Type="http://schemas.openxmlformats.org/officeDocument/2006/relationships/hyperlink" Target="https://dart.fss.or.kr/dsaf001/main.do?rcpNo=20260814002972" TargetMode="External" Id="rId169"/><Relationship Type="http://schemas.openxmlformats.org/officeDocument/2006/relationships/hyperlink" Target="https://dart.fss.or.kr/dsaf001/main.do?rcpNo=20260318001025" TargetMode="External" Id="rId170"/><Relationship Type="http://schemas.openxmlformats.org/officeDocument/2006/relationships/hyperlink" Target="https://dart.fss.or.kr/dsaf001/main.do?rcpNo=20250814003006" TargetMode="External" Id="rId171"/><Relationship Type="http://schemas.openxmlformats.org/officeDocument/2006/relationships/hyperlink" Target="https://dart.fss.or.kr/dsaf001/main.do?rcpNo=20260814002972" TargetMode="External" Id="rId172"/><Relationship Type="http://schemas.openxmlformats.org/officeDocument/2006/relationships/hyperlink" Target="https://dart.fss.or.kr/dsaf001/main.do?rcpNo=20260318001025" TargetMode="External" Id="rId173"/><Relationship Type="http://schemas.openxmlformats.org/officeDocument/2006/relationships/hyperlink" Target="https://dart.fss.or.kr/dsaf001/main.do?rcpNo=20250814003006" TargetMode="External" Id="rId174"/><Relationship Type="http://schemas.openxmlformats.org/officeDocument/2006/relationships/hyperlink" Target="https://dart.fss.or.kr/dsaf001/main.do?rcpNo=20260814002972" TargetMode="External" Id="rId175"/><Relationship Type="http://schemas.openxmlformats.org/officeDocument/2006/relationships/hyperlink" Target="https://dart.fss.or.kr/dsaf001/main.do?rcpNo=20260318001025" TargetMode="External" Id="rId176"/><Relationship Type="http://schemas.openxmlformats.org/officeDocument/2006/relationships/hyperlink" Target="https://dart.fss.or.kr/dsaf001/main.do?rcpNo=20250814003006" TargetMode="External" Id="rId177"/><Relationship Type="http://schemas.openxmlformats.org/officeDocument/2006/relationships/hyperlink" Target="https://dart.fss.or.kr/dsaf001/main.do?rcpNo=20260814002972" TargetMode="External" Id="rId178"/><Relationship Type="http://schemas.openxmlformats.org/officeDocument/2006/relationships/hyperlink" Target="https://dart.fss.or.kr/dsaf001/main.do?rcpNo=20260318001025" TargetMode="External" Id="rId179"/><Relationship Type="http://schemas.openxmlformats.org/officeDocument/2006/relationships/hyperlink" Target="https://dart.fss.or.kr/dsaf001/main.do?rcpNo=20250814003006" TargetMode="External" Id="rId180"/><Relationship Type="http://schemas.openxmlformats.org/officeDocument/2006/relationships/hyperlink" Target="https://dart.fss.or.kr/dsaf001/main.do?rcpNo=20260814002972" TargetMode="External" Id="rId181"/><Relationship Type="http://schemas.openxmlformats.org/officeDocument/2006/relationships/hyperlink" Target="https://dart.fss.or.kr/dsaf001/main.do?rcpNo=20260318001025" TargetMode="External" Id="rId182"/><Relationship Type="http://schemas.openxmlformats.org/officeDocument/2006/relationships/hyperlink" Target="https://dart.fss.or.kr/dsaf001/main.do?rcpNo=20250814003006" TargetMode="External" Id="rId183"/><Relationship Type="http://schemas.openxmlformats.org/officeDocument/2006/relationships/hyperlink" Target="https://dart.fss.or.kr/dsaf001/main.do?rcpNo=20260814002972" TargetMode="External" Id="rId184"/><Relationship Type="http://schemas.openxmlformats.org/officeDocument/2006/relationships/hyperlink" Target="https://dart.fss.or.kr/dsaf001/main.do?rcpNo=20260318001025" TargetMode="External" Id="rId185"/><Relationship Type="http://schemas.openxmlformats.org/officeDocument/2006/relationships/hyperlink" Target="https://dart.fss.or.kr/dsaf001/main.do?rcpNo=20250814003006" TargetMode="External" Id="rId186"/><Relationship Type="http://schemas.openxmlformats.org/officeDocument/2006/relationships/hyperlink" Target="https://dart.fss.or.kr/dsaf001/main.do?rcpNo=20260814002972" TargetMode="External" Id="rId187"/><Relationship Type="http://schemas.openxmlformats.org/officeDocument/2006/relationships/hyperlink" Target="https://dart.fss.or.kr/dsaf001/main.do?rcpNo=20250814003006" TargetMode="External" Id="rId188"/><Relationship Type="http://schemas.openxmlformats.org/officeDocument/2006/relationships/hyperlink" Target="https://dart.fss.or.kr/dsaf001/main.do?rcpNo=20260814002972" TargetMode="External" Id="rId189"/><Relationship Type="http://schemas.openxmlformats.org/officeDocument/2006/relationships/hyperlink" Target="https://dart.fss.or.kr/dsaf001/main.do?rcpNo=20250814003006" TargetMode="External" Id="rId190"/><Relationship Type="http://schemas.openxmlformats.org/officeDocument/2006/relationships/hyperlink" Target="https://dart.fss.or.kr/dsaf001/main.do?rcpNo=20260814002972" TargetMode="External" Id="rId191"/><Relationship Type="http://schemas.openxmlformats.org/officeDocument/2006/relationships/hyperlink" Target="https://dart.fss.or.kr/dsaf001/main.do?rcpNo=20250814003006" TargetMode="External" Id="rId192"/><Relationship Type="http://schemas.openxmlformats.org/officeDocument/2006/relationships/hyperlink" Target="https://dart.fss.or.kr/dsaf001/main.do?rcpNo=20260814002972" TargetMode="External" Id="rId193"/><Relationship Type="http://schemas.openxmlformats.org/officeDocument/2006/relationships/hyperlink" Target="https://dart.fss.or.kr/dsaf001/main.do?rcpNo=20250814003006" TargetMode="External" Id="rId194"/><Relationship Type="http://schemas.openxmlformats.org/officeDocument/2006/relationships/hyperlink" Target="https://dart.fss.or.kr/dsaf001/main.do?rcpNo=20260814002972" TargetMode="External" Id="rId195"/><Relationship Type="http://schemas.openxmlformats.org/officeDocument/2006/relationships/hyperlink" Target="https://dart.fss.or.kr/dsaf001/main.do?rcpNo=20250814003006" TargetMode="External" Id="rId196"/><Relationship Type="http://schemas.openxmlformats.org/officeDocument/2006/relationships/hyperlink" Target="https://dart.fss.or.kr/dsaf001/main.do?rcpNo=20260814002185" TargetMode="External" Id="rId197"/><Relationship Type="http://schemas.openxmlformats.org/officeDocument/2006/relationships/hyperlink" Target="https://dart.fss.or.kr/dsaf001/main.do?rcpNo=20260318001157" TargetMode="External" Id="rId198"/><Relationship Type="http://schemas.openxmlformats.org/officeDocument/2006/relationships/hyperlink" Target="https://dart.fss.or.kr/dsaf001/main.do?rcpNo=20250814003843" TargetMode="External" Id="rId199"/><Relationship Type="http://schemas.openxmlformats.org/officeDocument/2006/relationships/hyperlink" Target="https://dart.fss.or.kr/dsaf001/main.do?rcpNo=20260814002185" TargetMode="External" Id="rId200"/><Relationship Type="http://schemas.openxmlformats.org/officeDocument/2006/relationships/hyperlink" Target="https://dart.fss.or.kr/dsaf001/main.do?rcpNo=20260318001157" TargetMode="External" Id="rId201"/><Relationship Type="http://schemas.openxmlformats.org/officeDocument/2006/relationships/hyperlink" Target="https://dart.fss.or.kr/dsaf001/main.do?rcpNo=20250814003843" TargetMode="External" Id="rId202"/><Relationship Type="http://schemas.openxmlformats.org/officeDocument/2006/relationships/hyperlink" Target="https://dart.fss.or.kr/dsaf001/main.do?rcpNo=20260814002185" TargetMode="External" Id="rId203"/><Relationship Type="http://schemas.openxmlformats.org/officeDocument/2006/relationships/hyperlink" Target="https://dart.fss.or.kr/dsaf001/main.do?rcpNo=20260318001157" TargetMode="External" Id="rId204"/><Relationship Type="http://schemas.openxmlformats.org/officeDocument/2006/relationships/hyperlink" Target="https://dart.fss.or.kr/dsaf001/main.do?rcpNo=20250814003843" TargetMode="External" Id="rId205"/><Relationship Type="http://schemas.openxmlformats.org/officeDocument/2006/relationships/hyperlink" Target="https://dart.fss.or.kr/dsaf001/main.do?rcpNo=20260814002185" TargetMode="External" Id="rId206"/><Relationship Type="http://schemas.openxmlformats.org/officeDocument/2006/relationships/hyperlink" Target="https://dart.fss.or.kr/dsaf001/main.do?rcpNo=20260318001157" TargetMode="External" Id="rId207"/><Relationship Type="http://schemas.openxmlformats.org/officeDocument/2006/relationships/hyperlink" Target="https://dart.fss.or.kr/dsaf001/main.do?rcpNo=20250814003843" TargetMode="External" Id="rId208"/><Relationship Type="http://schemas.openxmlformats.org/officeDocument/2006/relationships/hyperlink" Target="https://dart.fss.or.kr/dsaf001/main.do?rcpNo=20260814002185" TargetMode="External" Id="rId209"/><Relationship Type="http://schemas.openxmlformats.org/officeDocument/2006/relationships/hyperlink" Target="https://dart.fss.or.kr/dsaf001/main.do?rcpNo=20260318001157" TargetMode="External" Id="rId210"/><Relationship Type="http://schemas.openxmlformats.org/officeDocument/2006/relationships/hyperlink" Target="https://dart.fss.or.kr/dsaf001/main.do?rcpNo=20250814003843" TargetMode="External" Id="rId211"/><Relationship Type="http://schemas.openxmlformats.org/officeDocument/2006/relationships/hyperlink" Target="https://dart.fss.or.kr/dsaf001/main.do?rcpNo=20260814002185" TargetMode="External" Id="rId212"/><Relationship Type="http://schemas.openxmlformats.org/officeDocument/2006/relationships/hyperlink" Target="https://dart.fss.or.kr/dsaf001/main.do?rcpNo=20260318001157" TargetMode="External" Id="rId213"/><Relationship Type="http://schemas.openxmlformats.org/officeDocument/2006/relationships/hyperlink" Target="https://dart.fss.or.kr/dsaf001/main.do?rcpNo=20250814003843" TargetMode="External" Id="rId214"/><Relationship Type="http://schemas.openxmlformats.org/officeDocument/2006/relationships/hyperlink" Target="https://dart.fss.or.kr/dsaf001/main.do?rcpNo=20260814002185" TargetMode="External" Id="rId215"/><Relationship Type="http://schemas.openxmlformats.org/officeDocument/2006/relationships/hyperlink" Target="https://dart.fss.or.kr/dsaf001/main.do?rcpNo=20250814003843" TargetMode="External" Id="rId216"/><Relationship Type="http://schemas.openxmlformats.org/officeDocument/2006/relationships/hyperlink" Target="https://dart.fss.or.kr/dsaf001/main.do?rcpNo=20260814002185" TargetMode="External" Id="rId217"/><Relationship Type="http://schemas.openxmlformats.org/officeDocument/2006/relationships/hyperlink" Target="https://dart.fss.or.kr/dsaf001/main.do?rcpNo=20250814003843" TargetMode="External" Id="rId218"/><Relationship Type="http://schemas.openxmlformats.org/officeDocument/2006/relationships/hyperlink" Target="https://dart.fss.or.kr/dsaf001/main.do?rcpNo=20260814002185" TargetMode="External" Id="rId219"/><Relationship Type="http://schemas.openxmlformats.org/officeDocument/2006/relationships/hyperlink" Target="https://dart.fss.or.kr/dsaf001/main.do?rcpNo=20250814003843" TargetMode="External" Id="rId220"/><Relationship Type="http://schemas.openxmlformats.org/officeDocument/2006/relationships/hyperlink" Target="https://dart.fss.or.kr/dsaf001/main.do?rcpNo=20260814002185" TargetMode="External" Id="rId221"/><Relationship Type="http://schemas.openxmlformats.org/officeDocument/2006/relationships/hyperlink" Target="https://dart.fss.or.kr/dsaf001/main.do?rcpNo=20250814003843" TargetMode="External" Id="rId222"/><Relationship Type="http://schemas.openxmlformats.org/officeDocument/2006/relationships/hyperlink" Target="https://dart.fss.or.kr/dsaf001/main.do?rcpNo=20260814002185" TargetMode="External" Id="rId223"/><Relationship Type="http://schemas.openxmlformats.org/officeDocument/2006/relationships/hyperlink" Target="https://dart.fss.or.kr/dsaf001/main.do?rcpNo=20250814003843" TargetMode="External" Id="rId224"/><Relationship Type="http://schemas.openxmlformats.org/officeDocument/2006/relationships/hyperlink" Target="https://dart.fss.or.kr/dsaf001/main.do?rcpNo=20260930000262" TargetMode="External" Id="rId225"/><Relationship Type="http://schemas.openxmlformats.org/officeDocument/2006/relationships/hyperlink" Target="https://dart.fss.or.kr/dsaf001/main.do?rcpNo=20260317000438" TargetMode="External" Id="rId226"/><Relationship Type="http://schemas.openxmlformats.org/officeDocument/2006/relationships/hyperlink" Target="https://dart.fss.or.kr/dsaf001/main.do?rcpNo=20250813000456" TargetMode="External" Id="rId227"/><Relationship Type="http://schemas.openxmlformats.org/officeDocument/2006/relationships/hyperlink" Target="https://dart.fss.or.kr/dsaf001/main.do?rcpNo=20260930000262" TargetMode="External" Id="rId228"/><Relationship Type="http://schemas.openxmlformats.org/officeDocument/2006/relationships/hyperlink" Target="https://dart.fss.or.kr/dsaf001/main.do?rcpNo=20260317000438" TargetMode="External" Id="rId229"/><Relationship Type="http://schemas.openxmlformats.org/officeDocument/2006/relationships/hyperlink" Target="https://dart.fss.or.kr/dsaf001/main.do?rcpNo=20250813000456" TargetMode="External" Id="rId230"/><Relationship Type="http://schemas.openxmlformats.org/officeDocument/2006/relationships/hyperlink" Target="https://dart.fss.or.kr/dsaf001/main.do?rcpNo=20260930000262" TargetMode="External" Id="rId231"/><Relationship Type="http://schemas.openxmlformats.org/officeDocument/2006/relationships/hyperlink" Target="https://dart.fss.or.kr/dsaf001/main.do?rcpNo=20260317000438" TargetMode="External" Id="rId232"/><Relationship Type="http://schemas.openxmlformats.org/officeDocument/2006/relationships/hyperlink" Target="https://dart.fss.or.kr/dsaf001/main.do?rcpNo=20250813000456" TargetMode="External" Id="rId233"/><Relationship Type="http://schemas.openxmlformats.org/officeDocument/2006/relationships/hyperlink" Target="https://dart.fss.or.kr/dsaf001/main.do?rcpNo=20260930000262" TargetMode="External" Id="rId234"/><Relationship Type="http://schemas.openxmlformats.org/officeDocument/2006/relationships/hyperlink" Target="https://dart.fss.or.kr/dsaf001/main.do?rcpNo=20260317000438" TargetMode="External" Id="rId235"/><Relationship Type="http://schemas.openxmlformats.org/officeDocument/2006/relationships/hyperlink" Target="https://dart.fss.or.kr/dsaf001/main.do?rcpNo=20250813000456" TargetMode="External" Id="rId236"/><Relationship Type="http://schemas.openxmlformats.org/officeDocument/2006/relationships/hyperlink" Target="https://dart.fss.or.kr/dsaf001/main.do?rcpNo=20260930000262" TargetMode="External" Id="rId237"/><Relationship Type="http://schemas.openxmlformats.org/officeDocument/2006/relationships/hyperlink" Target="https://dart.fss.or.kr/dsaf001/main.do?rcpNo=20260317000438" TargetMode="External" Id="rId238"/><Relationship Type="http://schemas.openxmlformats.org/officeDocument/2006/relationships/hyperlink" Target="https://dart.fss.or.kr/dsaf001/main.do?rcpNo=20250813000456" TargetMode="External" Id="rId239"/><Relationship Type="http://schemas.openxmlformats.org/officeDocument/2006/relationships/hyperlink" Target="https://dart.fss.or.kr/dsaf001/main.do?rcpNo=20260930000262" TargetMode="External" Id="rId240"/><Relationship Type="http://schemas.openxmlformats.org/officeDocument/2006/relationships/hyperlink" Target="https://dart.fss.or.kr/dsaf001/main.do?rcpNo=20260317000438" TargetMode="External" Id="rId241"/><Relationship Type="http://schemas.openxmlformats.org/officeDocument/2006/relationships/hyperlink" Target="https://dart.fss.or.kr/dsaf001/main.do?rcpNo=20250813000456" TargetMode="External" Id="rId242"/><Relationship Type="http://schemas.openxmlformats.org/officeDocument/2006/relationships/hyperlink" Target="https://dart.fss.or.kr/dsaf001/main.do?rcpNo=20260930000262" TargetMode="External" Id="rId243"/><Relationship Type="http://schemas.openxmlformats.org/officeDocument/2006/relationships/hyperlink" Target="https://dart.fss.or.kr/dsaf001/main.do?rcpNo=20250813000456" TargetMode="External" Id="rId244"/><Relationship Type="http://schemas.openxmlformats.org/officeDocument/2006/relationships/hyperlink" Target="https://dart.fss.or.kr/dsaf001/main.do?rcpNo=20260930000262" TargetMode="External" Id="rId245"/><Relationship Type="http://schemas.openxmlformats.org/officeDocument/2006/relationships/hyperlink" Target="https://dart.fss.or.kr/dsaf001/main.do?rcpNo=20250813000456" TargetMode="External" Id="rId246"/><Relationship Type="http://schemas.openxmlformats.org/officeDocument/2006/relationships/hyperlink" Target="https://dart.fss.or.kr/dsaf001/main.do?rcpNo=20260930000262" TargetMode="External" Id="rId247"/><Relationship Type="http://schemas.openxmlformats.org/officeDocument/2006/relationships/hyperlink" Target="https://dart.fss.or.kr/dsaf001/main.do?rcpNo=20250813000456" TargetMode="External" Id="rId248"/><Relationship Type="http://schemas.openxmlformats.org/officeDocument/2006/relationships/hyperlink" Target="https://dart.fss.or.kr/dsaf001/main.do?rcpNo=20260930000262" TargetMode="External" Id="rId249"/><Relationship Type="http://schemas.openxmlformats.org/officeDocument/2006/relationships/hyperlink" Target="https://dart.fss.or.kr/dsaf001/main.do?rcpNo=20250813000456" TargetMode="External" Id="rId250"/><Relationship Type="http://schemas.openxmlformats.org/officeDocument/2006/relationships/hyperlink" Target="https://dart.fss.or.kr/dsaf001/main.do?rcpNo=20260930000262" TargetMode="External" Id="rId251"/><Relationship Type="http://schemas.openxmlformats.org/officeDocument/2006/relationships/hyperlink" Target="https://dart.fss.or.kr/dsaf001/main.do?rcpNo=20250813000456" TargetMode="External" Id="rId252"/><Relationship Type="http://schemas.openxmlformats.org/officeDocument/2006/relationships/hyperlink" Target="https://dart.fss.or.kr/dsaf001/main.do?rcpNo=20260814001277" TargetMode="External" Id="rId253"/><Relationship Type="http://schemas.openxmlformats.org/officeDocument/2006/relationships/hyperlink" Target="https://dart.fss.or.kr/dsaf001/main.do?rcpNo=20260323001268" TargetMode="External" Id="rId254"/><Relationship Type="http://schemas.openxmlformats.org/officeDocument/2006/relationships/hyperlink" Target="https://dart.fss.or.kr/dsaf001/main.do?rcpNo=20250814004442" TargetMode="External" Id="rId255"/><Relationship Type="http://schemas.openxmlformats.org/officeDocument/2006/relationships/hyperlink" Target="https://dart.fss.or.kr/dsaf001/main.do?rcpNo=20260814001277" TargetMode="External" Id="rId256"/><Relationship Type="http://schemas.openxmlformats.org/officeDocument/2006/relationships/hyperlink" Target="https://dart.fss.or.kr/dsaf001/main.do?rcpNo=20260323001268" TargetMode="External" Id="rId257"/><Relationship Type="http://schemas.openxmlformats.org/officeDocument/2006/relationships/hyperlink" Target="https://dart.fss.or.kr/dsaf001/main.do?rcpNo=20250814004442" TargetMode="External" Id="rId258"/><Relationship Type="http://schemas.openxmlformats.org/officeDocument/2006/relationships/hyperlink" Target="https://dart.fss.or.kr/dsaf001/main.do?rcpNo=20260814001277" TargetMode="External" Id="rId259"/><Relationship Type="http://schemas.openxmlformats.org/officeDocument/2006/relationships/hyperlink" Target="https://dart.fss.or.kr/dsaf001/main.do?rcpNo=20260323001268" TargetMode="External" Id="rId260"/><Relationship Type="http://schemas.openxmlformats.org/officeDocument/2006/relationships/hyperlink" Target="https://dart.fss.or.kr/dsaf001/main.do?rcpNo=20250814004442" TargetMode="External" Id="rId261"/><Relationship Type="http://schemas.openxmlformats.org/officeDocument/2006/relationships/hyperlink" Target="https://dart.fss.or.kr/dsaf001/main.do?rcpNo=20260814001277" TargetMode="External" Id="rId262"/><Relationship Type="http://schemas.openxmlformats.org/officeDocument/2006/relationships/hyperlink" Target="https://dart.fss.or.kr/dsaf001/main.do?rcpNo=20260323001268" TargetMode="External" Id="rId263"/><Relationship Type="http://schemas.openxmlformats.org/officeDocument/2006/relationships/hyperlink" Target="https://dart.fss.or.kr/dsaf001/main.do?rcpNo=20250814004442" TargetMode="External" Id="rId264"/><Relationship Type="http://schemas.openxmlformats.org/officeDocument/2006/relationships/hyperlink" Target="https://dart.fss.or.kr/dsaf001/main.do?rcpNo=20260814001277" TargetMode="External" Id="rId265"/><Relationship Type="http://schemas.openxmlformats.org/officeDocument/2006/relationships/hyperlink" Target="https://dart.fss.or.kr/dsaf001/main.do?rcpNo=20260323001268" TargetMode="External" Id="rId266"/><Relationship Type="http://schemas.openxmlformats.org/officeDocument/2006/relationships/hyperlink" Target="https://dart.fss.or.kr/dsaf001/main.do?rcpNo=20250814004442" TargetMode="External" Id="rId267"/><Relationship Type="http://schemas.openxmlformats.org/officeDocument/2006/relationships/hyperlink" Target="https://dart.fss.or.kr/dsaf001/main.do?rcpNo=20260814001277" TargetMode="External" Id="rId268"/><Relationship Type="http://schemas.openxmlformats.org/officeDocument/2006/relationships/hyperlink" Target="https://dart.fss.or.kr/dsaf001/main.do?rcpNo=20260323001268" TargetMode="External" Id="rId269"/><Relationship Type="http://schemas.openxmlformats.org/officeDocument/2006/relationships/hyperlink" Target="https://dart.fss.or.kr/dsaf001/main.do?rcpNo=20250814004442" TargetMode="External" Id="rId270"/><Relationship Type="http://schemas.openxmlformats.org/officeDocument/2006/relationships/hyperlink" Target="https://dart.fss.or.kr/dsaf001/main.do?rcpNo=20260814001277" TargetMode="External" Id="rId271"/><Relationship Type="http://schemas.openxmlformats.org/officeDocument/2006/relationships/hyperlink" Target="https://dart.fss.or.kr/dsaf001/main.do?rcpNo=20250814004442" TargetMode="External" Id="rId272"/><Relationship Type="http://schemas.openxmlformats.org/officeDocument/2006/relationships/hyperlink" Target="https://dart.fss.or.kr/dsaf001/main.do?rcpNo=20260814001277" TargetMode="External" Id="rId273"/><Relationship Type="http://schemas.openxmlformats.org/officeDocument/2006/relationships/hyperlink" Target="https://dart.fss.or.kr/dsaf001/main.do?rcpNo=20250814004442" TargetMode="External" Id="rId274"/><Relationship Type="http://schemas.openxmlformats.org/officeDocument/2006/relationships/hyperlink" Target="https://dart.fss.or.kr/dsaf001/main.do?rcpNo=20260814001277" TargetMode="External" Id="rId275"/><Relationship Type="http://schemas.openxmlformats.org/officeDocument/2006/relationships/hyperlink" Target="https://dart.fss.or.kr/dsaf001/main.do?rcpNo=20250814004442" TargetMode="External" Id="rId276"/><Relationship Type="http://schemas.openxmlformats.org/officeDocument/2006/relationships/hyperlink" Target="https://dart.fss.or.kr/dsaf001/main.do?rcpNo=20260814001277" TargetMode="External" Id="rId277"/><Relationship Type="http://schemas.openxmlformats.org/officeDocument/2006/relationships/hyperlink" Target="https://dart.fss.or.kr/dsaf001/main.do?rcpNo=20250814004442" TargetMode="External" Id="rId278"/><Relationship Type="http://schemas.openxmlformats.org/officeDocument/2006/relationships/hyperlink" Target="https://dart.fss.or.kr/dsaf001/main.do?rcpNo=20260814001277" TargetMode="External" Id="rId279"/><Relationship Type="http://schemas.openxmlformats.org/officeDocument/2006/relationships/hyperlink" Target="https://dart.fss.or.kr/dsaf001/main.do?rcpNo=20250814004442" TargetMode="External" Id="rId280"/><Relationship Type="http://schemas.openxmlformats.org/officeDocument/2006/relationships/hyperlink" Target="https://dart.fss.or.kr/dsaf001/main.do?rcpNo=20260813000886" TargetMode="External" Id="rId281"/><Relationship Type="http://schemas.openxmlformats.org/officeDocument/2006/relationships/hyperlink" Target="https://dart.fss.or.kr/dsaf001/main.do?rcpNo=20260318001709" TargetMode="External" Id="rId282"/><Relationship Type="http://schemas.openxmlformats.org/officeDocument/2006/relationships/hyperlink" Target="https://dart.fss.or.kr/dsaf001/main.do?rcpNo=20250813001569" TargetMode="External" Id="rId283"/><Relationship Type="http://schemas.openxmlformats.org/officeDocument/2006/relationships/hyperlink" Target="https://dart.fss.or.kr/dsaf001/main.do?rcpNo=20260813000886" TargetMode="External" Id="rId284"/><Relationship Type="http://schemas.openxmlformats.org/officeDocument/2006/relationships/hyperlink" Target="https://dart.fss.or.kr/dsaf001/main.do?rcpNo=20260318001709" TargetMode="External" Id="rId285"/><Relationship Type="http://schemas.openxmlformats.org/officeDocument/2006/relationships/hyperlink" Target="https://dart.fss.or.kr/dsaf001/main.do?rcpNo=20250813001569" TargetMode="External" Id="rId286"/><Relationship Type="http://schemas.openxmlformats.org/officeDocument/2006/relationships/hyperlink" Target="https://dart.fss.or.kr/dsaf001/main.do?rcpNo=20260813000886" TargetMode="External" Id="rId287"/><Relationship Type="http://schemas.openxmlformats.org/officeDocument/2006/relationships/hyperlink" Target="https://dart.fss.or.kr/dsaf001/main.do?rcpNo=20260318001709" TargetMode="External" Id="rId288"/><Relationship Type="http://schemas.openxmlformats.org/officeDocument/2006/relationships/hyperlink" Target="https://dart.fss.or.kr/dsaf001/main.do?rcpNo=20250813001569" TargetMode="External" Id="rId289"/><Relationship Type="http://schemas.openxmlformats.org/officeDocument/2006/relationships/hyperlink" Target="https://dart.fss.or.kr/dsaf001/main.do?rcpNo=20260813000886" TargetMode="External" Id="rId290"/><Relationship Type="http://schemas.openxmlformats.org/officeDocument/2006/relationships/hyperlink" Target="https://dart.fss.or.kr/dsaf001/main.do?rcpNo=20260318001709" TargetMode="External" Id="rId291"/><Relationship Type="http://schemas.openxmlformats.org/officeDocument/2006/relationships/hyperlink" Target="https://dart.fss.or.kr/dsaf001/main.do?rcpNo=20250813001569" TargetMode="External" Id="rId292"/><Relationship Type="http://schemas.openxmlformats.org/officeDocument/2006/relationships/hyperlink" Target="https://dart.fss.or.kr/dsaf001/main.do?rcpNo=20260813000886" TargetMode="External" Id="rId293"/><Relationship Type="http://schemas.openxmlformats.org/officeDocument/2006/relationships/hyperlink" Target="https://dart.fss.or.kr/dsaf001/main.do?rcpNo=20260318001709" TargetMode="External" Id="rId294"/><Relationship Type="http://schemas.openxmlformats.org/officeDocument/2006/relationships/hyperlink" Target="https://dart.fss.or.kr/dsaf001/main.do?rcpNo=20250813001569" TargetMode="External" Id="rId295"/><Relationship Type="http://schemas.openxmlformats.org/officeDocument/2006/relationships/hyperlink" Target="https://dart.fss.or.kr/dsaf001/main.do?rcpNo=20260813000886" TargetMode="External" Id="rId296"/><Relationship Type="http://schemas.openxmlformats.org/officeDocument/2006/relationships/hyperlink" Target="https://dart.fss.or.kr/dsaf001/main.do?rcpNo=20260318001709" TargetMode="External" Id="rId297"/><Relationship Type="http://schemas.openxmlformats.org/officeDocument/2006/relationships/hyperlink" Target="https://dart.fss.or.kr/dsaf001/main.do?rcpNo=20250813001569" TargetMode="External" Id="rId298"/><Relationship Type="http://schemas.openxmlformats.org/officeDocument/2006/relationships/hyperlink" Target="https://dart.fss.or.kr/dsaf001/main.do?rcpNo=20260813000886" TargetMode="External" Id="rId299"/><Relationship Type="http://schemas.openxmlformats.org/officeDocument/2006/relationships/hyperlink" Target="https://dart.fss.or.kr/dsaf001/main.do?rcpNo=20250813001569" TargetMode="External" Id="rId300"/><Relationship Type="http://schemas.openxmlformats.org/officeDocument/2006/relationships/hyperlink" Target="https://dart.fss.or.kr/dsaf001/main.do?rcpNo=20260813000886" TargetMode="External" Id="rId301"/><Relationship Type="http://schemas.openxmlformats.org/officeDocument/2006/relationships/hyperlink" Target="https://dart.fss.or.kr/dsaf001/main.do?rcpNo=20250813001569" TargetMode="External" Id="rId302"/><Relationship Type="http://schemas.openxmlformats.org/officeDocument/2006/relationships/hyperlink" Target="https://dart.fss.or.kr/dsaf001/main.do?rcpNo=20260813000886" TargetMode="External" Id="rId303"/><Relationship Type="http://schemas.openxmlformats.org/officeDocument/2006/relationships/hyperlink" Target="https://dart.fss.or.kr/dsaf001/main.do?rcpNo=20250813001569" TargetMode="External" Id="rId304"/><Relationship Type="http://schemas.openxmlformats.org/officeDocument/2006/relationships/hyperlink" Target="https://dart.fss.or.kr/dsaf001/main.do?rcpNo=20260813000886" TargetMode="External" Id="rId305"/><Relationship Type="http://schemas.openxmlformats.org/officeDocument/2006/relationships/hyperlink" Target="https://dart.fss.or.kr/dsaf001/main.do?rcpNo=20250813001569" TargetMode="External" Id="rId306"/><Relationship Type="http://schemas.openxmlformats.org/officeDocument/2006/relationships/hyperlink" Target="https://dart.fss.or.kr/dsaf001/main.do?rcpNo=20260813000886" TargetMode="External" Id="rId307"/><Relationship Type="http://schemas.openxmlformats.org/officeDocument/2006/relationships/hyperlink" Target="https://dart.fss.or.kr/dsaf001/main.do?rcpNo=20250813001569" TargetMode="External" Id="rId308"/><Relationship Type="http://schemas.openxmlformats.org/officeDocument/2006/relationships/hyperlink" Target="https://dart.fss.or.kr/dsaf001/main.do?rcpNo=20260814004197" TargetMode="External" Id="rId309"/><Relationship Type="http://schemas.openxmlformats.org/officeDocument/2006/relationships/hyperlink" Target="https://dart.fss.or.kr/dsaf001/main.do?rcpNo=20260316001619" TargetMode="External" Id="rId310"/><Relationship Type="http://schemas.openxmlformats.org/officeDocument/2006/relationships/hyperlink" Target="https://dart.fss.or.kr/dsaf001/main.do?rcpNo=20250814004439" TargetMode="External" Id="rId311"/><Relationship Type="http://schemas.openxmlformats.org/officeDocument/2006/relationships/hyperlink" Target="https://dart.fss.or.kr/dsaf001/main.do?rcpNo=20260814004197" TargetMode="External" Id="rId312"/><Relationship Type="http://schemas.openxmlformats.org/officeDocument/2006/relationships/hyperlink" Target="https://dart.fss.or.kr/dsaf001/main.do?rcpNo=20260316001619" TargetMode="External" Id="rId313"/><Relationship Type="http://schemas.openxmlformats.org/officeDocument/2006/relationships/hyperlink" Target="https://dart.fss.or.kr/dsaf001/main.do?rcpNo=20250814004439" TargetMode="External" Id="rId314"/><Relationship Type="http://schemas.openxmlformats.org/officeDocument/2006/relationships/hyperlink" Target="https://dart.fss.or.kr/dsaf001/main.do?rcpNo=20260814004197" TargetMode="External" Id="rId315"/><Relationship Type="http://schemas.openxmlformats.org/officeDocument/2006/relationships/hyperlink" Target="https://dart.fss.or.kr/dsaf001/main.do?rcpNo=20260316001619" TargetMode="External" Id="rId316"/><Relationship Type="http://schemas.openxmlformats.org/officeDocument/2006/relationships/hyperlink" Target="https://dart.fss.or.kr/dsaf001/main.do?rcpNo=20250814004439" TargetMode="External" Id="rId317"/><Relationship Type="http://schemas.openxmlformats.org/officeDocument/2006/relationships/hyperlink" Target="https://dart.fss.or.kr/dsaf001/main.do?rcpNo=20260814004197" TargetMode="External" Id="rId318"/><Relationship Type="http://schemas.openxmlformats.org/officeDocument/2006/relationships/hyperlink" Target="https://dart.fss.or.kr/dsaf001/main.do?rcpNo=20260316001619" TargetMode="External" Id="rId319"/><Relationship Type="http://schemas.openxmlformats.org/officeDocument/2006/relationships/hyperlink" Target="https://dart.fss.or.kr/dsaf001/main.do?rcpNo=20250814004439" TargetMode="External" Id="rId320"/><Relationship Type="http://schemas.openxmlformats.org/officeDocument/2006/relationships/hyperlink" Target="https://dart.fss.or.kr/dsaf001/main.do?rcpNo=20260814004197" TargetMode="External" Id="rId321"/><Relationship Type="http://schemas.openxmlformats.org/officeDocument/2006/relationships/hyperlink" Target="https://dart.fss.or.kr/dsaf001/main.do?rcpNo=20260316001619" TargetMode="External" Id="rId322"/><Relationship Type="http://schemas.openxmlformats.org/officeDocument/2006/relationships/hyperlink" Target="https://dart.fss.or.kr/dsaf001/main.do?rcpNo=20250814004439" TargetMode="External" Id="rId323"/><Relationship Type="http://schemas.openxmlformats.org/officeDocument/2006/relationships/hyperlink" Target="https://dart.fss.or.kr/dsaf001/main.do?rcpNo=20260814004197" TargetMode="External" Id="rId324"/><Relationship Type="http://schemas.openxmlformats.org/officeDocument/2006/relationships/hyperlink" Target="https://dart.fss.or.kr/dsaf001/main.do?rcpNo=20260316001619" TargetMode="External" Id="rId325"/><Relationship Type="http://schemas.openxmlformats.org/officeDocument/2006/relationships/hyperlink" Target="https://dart.fss.or.kr/dsaf001/main.do?rcpNo=20250814004439" TargetMode="External" Id="rId326"/><Relationship Type="http://schemas.openxmlformats.org/officeDocument/2006/relationships/hyperlink" Target="https://dart.fss.or.kr/dsaf001/main.do?rcpNo=20260814004197" TargetMode="External" Id="rId327"/><Relationship Type="http://schemas.openxmlformats.org/officeDocument/2006/relationships/hyperlink" Target="https://dart.fss.or.kr/dsaf001/main.do?rcpNo=20250814004439" TargetMode="External" Id="rId328"/><Relationship Type="http://schemas.openxmlformats.org/officeDocument/2006/relationships/hyperlink" Target="https://dart.fss.or.kr/dsaf001/main.do?rcpNo=20260814004197" TargetMode="External" Id="rId329"/><Relationship Type="http://schemas.openxmlformats.org/officeDocument/2006/relationships/hyperlink" Target="https://dart.fss.or.kr/dsaf001/main.do?rcpNo=20250814004439" TargetMode="External" Id="rId330"/><Relationship Type="http://schemas.openxmlformats.org/officeDocument/2006/relationships/hyperlink" Target="https://dart.fss.or.kr/dsaf001/main.do?rcpNo=20260814004197" TargetMode="External" Id="rId331"/><Relationship Type="http://schemas.openxmlformats.org/officeDocument/2006/relationships/hyperlink" Target="https://dart.fss.or.kr/dsaf001/main.do?rcpNo=20250814004439" TargetMode="External" Id="rId332"/><Relationship Type="http://schemas.openxmlformats.org/officeDocument/2006/relationships/hyperlink" Target="https://dart.fss.or.kr/dsaf001/main.do?rcpNo=20260814004197" TargetMode="External" Id="rId333"/><Relationship Type="http://schemas.openxmlformats.org/officeDocument/2006/relationships/hyperlink" Target="https://dart.fss.or.kr/dsaf001/main.do?rcpNo=20250814004439" TargetMode="External" Id="rId334"/><Relationship Type="http://schemas.openxmlformats.org/officeDocument/2006/relationships/hyperlink" Target="https://dart.fss.or.kr/dsaf001/main.do?rcpNo=20260814004197" TargetMode="External" Id="rId335"/><Relationship Type="http://schemas.openxmlformats.org/officeDocument/2006/relationships/hyperlink" Target="https://dart.fss.or.kr/dsaf001/main.do?rcpNo=20250814004439" TargetMode="External" Id="rId336"/><Relationship Type="http://schemas.openxmlformats.org/officeDocument/2006/relationships/hyperlink" Target="https://dart.fss.or.kr/dsaf001/main.do?rcpNo=20260319000961" TargetMode="External" Id="rId337"/><Relationship Type="http://schemas.openxmlformats.org/officeDocument/2006/relationships/hyperlink" Target="https://dart.fss.or.kr/dsaf001/main.do?rcpNo=20250321001376" TargetMode="External" Id="rId338"/><Relationship Type="http://schemas.openxmlformats.org/officeDocument/2006/relationships/hyperlink" Target="https://dart.fss.or.kr/dsaf001/main.do?rcpNo=20250321001376" TargetMode="External" Id="rId339"/><Relationship Type="http://schemas.openxmlformats.org/officeDocument/2006/relationships/hyperlink" Target="https://dart.fss.or.kr/dsaf001/main.do?rcpNo=20260319000961" TargetMode="External" Id="rId340"/><Relationship Type="http://schemas.openxmlformats.org/officeDocument/2006/relationships/hyperlink" Target="https://dart.fss.or.kr/dsaf001/main.do?rcpNo=20250321001376" TargetMode="External" Id="rId341"/><Relationship Type="http://schemas.openxmlformats.org/officeDocument/2006/relationships/hyperlink" Target="https://dart.fss.or.kr/dsaf001/main.do?rcpNo=20250321001376" TargetMode="External" Id="rId342"/><Relationship Type="http://schemas.openxmlformats.org/officeDocument/2006/relationships/hyperlink" Target="https://dart.fss.or.kr/dsaf001/main.do?rcpNo=20260319000961" TargetMode="External" Id="rId343"/><Relationship Type="http://schemas.openxmlformats.org/officeDocument/2006/relationships/hyperlink" Target="https://dart.fss.or.kr/dsaf001/main.do?rcpNo=20250321001376" TargetMode="External" Id="rId344"/><Relationship Type="http://schemas.openxmlformats.org/officeDocument/2006/relationships/hyperlink" Target="https://dart.fss.or.kr/dsaf001/main.do?rcpNo=20250321001376" TargetMode="External" Id="rId345"/><Relationship Type="http://schemas.openxmlformats.org/officeDocument/2006/relationships/hyperlink" Target="https://dart.fss.or.kr/dsaf001/main.do?rcpNo=20260319000961" TargetMode="External" Id="rId346"/><Relationship Type="http://schemas.openxmlformats.org/officeDocument/2006/relationships/hyperlink" Target="https://dart.fss.or.kr/dsaf001/main.do?rcpNo=20250321001376" TargetMode="External" Id="rId347"/><Relationship Type="http://schemas.openxmlformats.org/officeDocument/2006/relationships/hyperlink" Target="https://dart.fss.or.kr/dsaf001/main.do?rcpNo=20250321001376" TargetMode="External" Id="rId348"/><Relationship Type="http://schemas.openxmlformats.org/officeDocument/2006/relationships/hyperlink" Target="https://dart.fss.or.kr/dsaf001/main.do?rcpNo=20260319000961" TargetMode="External" Id="rId349"/><Relationship Type="http://schemas.openxmlformats.org/officeDocument/2006/relationships/hyperlink" Target="https://dart.fss.or.kr/dsaf001/main.do?rcpNo=20250321001376" TargetMode="External" Id="rId350"/><Relationship Type="http://schemas.openxmlformats.org/officeDocument/2006/relationships/hyperlink" Target="https://dart.fss.or.kr/dsaf001/main.do?rcpNo=20250321001376" TargetMode="External" Id="rId351"/><Relationship Type="http://schemas.openxmlformats.org/officeDocument/2006/relationships/hyperlink" Target="https://dart.fss.or.kr/dsaf001/main.do?rcpNo=20260319000961" TargetMode="External" Id="rId352"/><Relationship Type="http://schemas.openxmlformats.org/officeDocument/2006/relationships/hyperlink" Target="https://dart.fss.or.kr/dsaf001/main.do?rcpNo=20250321001376" TargetMode="External" Id="rId353"/><Relationship Type="http://schemas.openxmlformats.org/officeDocument/2006/relationships/hyperlink" Target="https://dart.fss.or.kr/dsaf001/main.do?rcpNo=20250321001376" TargetMode="External" Id="rId354"/><Relationship Type="http://schemas.openxmlformats.org/officeDocument/2006/relationships/hyperlink" Target="https://dart.fss.or.kr/dsaf001/main.do?rcpNo=20260319000961" TargetMode="External" Id="rId355"/><Relationship Type="http://schemas.openxmlformats.org/officeDocument/2006/relationships/hyperlink" Target="https://dart.fss.or.kr/dsaf001/main.do?rcpNo=20250321001376" TargetMode="External" Id="rId356"/><Relationship Type="http://schemas.openxmlformats.org/officeDocument/2006/relationships/hyperlink" Target="https://dart.fss.or.kr/dsaf001/main.do?rcpNo=20260319000961" TargetMode="External" Id="rId357"/><Relationship Type="http://schemas.openxmlformats.org/officeDocument/2006/relationships/hyperlink" Target="https://dart.fss.or.kr/dsaf001/main.do?rcpNo=20250321001376" TargetMode="External" Id="rId358"/><Relationship Type="http://schemas.openxmlformats.org/officeDocument/2006/relationships/hyperlink" Target="https://dart.fss.or.kr/dsaf001/main.do?rcpNo=20260319000961" TargetMode="External" Id="rId359"/><Relationship Type="http://schemas.openxmlformats.org/officeDocument/2006/relationships/hyperlink" Target="https://dart.fss.or.kr/dsaf001/main.do?rcpNo=20250321001376" TargetMode="External" Id="rId360"/><Relationship Type="http://schemas.openxmlformats.org/officeDocument/2006/relationships/hyperlink" Target="https://dart.fss.or.kr/dsaf001/main.do?rcpNo=20260319000961" TargetMode="External" Id="rId361"/><Relationship Type="http://schemas.openxmlformats.org/officeDocument/2006/relationships/hyperlink" Target="https://dart.fss.or.kr/dsaf001/main.do?rcpNo=20250321001376" TargetMode="External" Id="rId362"/><Relationship Type="http://schemas.openxmlformats.org/officeDocument/2006/relationships/hyperlink" Target="https://dart.fss.or.kr/dsaf001/main.do?rcpNo=20260319000961" TargetMode="External" Id="rId363"/><Relationship Type="http://schemas.openxmlformats.org/officeDocument/2006/relationships/hyperlink" Target="https://dart.fss.or.kr/dsaf001/main.do?rcpNo=20250321001376" TargetMode="External" Id="rId364"/><Relationship Type="http://schemas.openxmlformats.org/officeDocument/2006/relationships/hyperlink" Target="https://dart.fss.or.kr/dsaf001/main.do?rcpNo=20251114002977" TargetMode="External" Id="rId365"/><Relationship Type="http://schemas.openxmlformats.org/officeDocument/2006/relationships/hyperlink" Target="https://dart.fss.or.kr/dsaf001/main.do?rcpNo=20250314001717" TargetMode="External" Id="rId366"/><Relationship Type="http://schemas.openxmlformats.org/officeDocument/2006/relationships/hyperlink" Target="https://dart.fss.or.kr/dsaf001/main.do?rcpNo=20241114002821" TargetMode="External" Id="rId367"/><Relationship Type="http://schemas.openxmlformats.org/officeDocument/2006/relationships/hyperlink" Target="https://dart.fss.or.kr/dsaf001/main.do?rcpNo=20251114002977" TargetMode="External" Id="rId368"/><Relationship Type="http://schemas.openxmlformats.org/officeDocument/2006/relationships/hyperlink" Target="https://dart.fss.or.kr/dsaf001/main.do?rcpNo=20250314001717" TargetMode="External" Id="rId369"/><Relationship Type="http://schemas.openxmlformats.org/officeDocument/2006/relationships/hyperlink" Target="https://dart.fss.or.kr/dsaf001/main.do?rcpNo=20241114002821" TargetMode="External" Id="rId370"/><Relationship Type="http://schemas.openxmlformats.org/officeDocument/2006/relationships/hyperlink" Target="https://dart.fss.or.kr/dsaf001/main.do?rcpNo=20251114002977" TargetMode="External" Id="rId371"/><Relationship Type="http://schemas.openxmlformats.org/officeDocument/2006/relationships/hyperlink" Target="https://dart.fss.or.kr/dsaf001/main.do?rcpNo=20250314001717" TargetMode="External" Id="rId372"/><Relationship Type="http://schemas.openxmlformats.org/officeDocument/2006/relationships/hyperlink" Target="https://dart.fss.or.kr/dsaf001/main.do?rcpNo=20241114002821" TargetMode="External" Id="rId373"/><Relationship Type="http://schemas.openxmlformats.org/officeDocument/2006/relationships/hyperlink" Target="https://dart.fss.or.kr/dsaf001/main.do?rcpNo=20251114002977" TargetMode="External" Id="rId374"/><Relationship Type="http://schemas.openxmlformats.org/officeDocument/2006/relationships/hyperlink" Target="https://dart.fss.or.kr/dsaf001/main.do?rcpNo=20250314001717" TargetMode="External" Id="rId375"/><Relationship Type="http://schemas.openxmlformats.org/officeDocument/2006/relationships/hyperlink" Target="https://dart.fss.or.kr/dsaf001/main.do?rcpNo=20241114002821" TargetMode="External" Id="rId376"/><Relationship Type="http://schemas.openxmlformats.org/officeDocument/2006/relationships/hyperlink" Target="https://dart.fss.or.kr/dsaf001/main.do?rcpNo=20251114002977" TargetMode="External" Id="rId377"/><Relationship Type="http://schemas.openxmlformats.org/officeDocument/2006/relationships/hyperlink" Target="https://dart.fss.or.kr/dsaf001/main.do?rcpNo=20250314001717" TargetMode="External" Id="rId378"/><Relationship Type="http://schemas.openxmlformats.org/officeDocument/2006/relationships/hyperlink" Target="https://dart.fss.or.kr/dsaf001/main.do?rcpNo=20241114002821" TargetMode="External" Id="rId379"/><Relationship Type="http://schemas.openxmlformats.org/officeDocument/2006/relationships/hyperlink" Target="https://dart.fss.or.kr/dsaf001/main.do?rcpNo=20251114002977" TargetMode="External" Id="rId380"/><Relationship Type="http://schemas.openxmlformats.org/officeDocument/2006/relationships/hyperlink" Target="https://dart.fss.or.kr/dsaf001/main.do?rcpNo=20250314001717" TargetMode="External" Id="rId381"/><Relationship Type="http://schemas.openxmlformats.org/officeDocument/2006/relationships/hyperlink" Target="https://dart.fss.or.kr/dsaf001/main.do?rcpNo=20241114002821" TargetMode="External" Id="rId382"/><Relationship Type="http://schemas.openxmlformats.org/officeDocument/2006/relationships/hyperlink" Target="https://dart.fss.or.kr/dsaf001/main.do?rcpNo=20251114002977" TargetMode="External" Id="rId383"/><Relationship Type="http://schemas.openxmlformats.org/officeDocument/2006/relationships/hyperlink" Target="https://dart.fss.or.kr/dsaf001/main.do?rcpNo=20241114002821" TargetMode="External" Id="rId384"/><Relationship Type="http://schemas.openxmlformats.org/officeDocument/2006/relationships/hyperlink" Target="https://dart.fss.or.kr/dsaf001/main.do?rcpNo=20251114002977" TargetMode="External" Id="rId385"/><Relationship Type="http://schemas.openxmlformats.org/officeDocument/2006/relationships/hyperlink" Target="https://dart.fss.or.kr/dsaf001/main.do?rcpNo=20241114002821" TargetMode="External" Id="rId386"/><Relationship Type="http://schemas.openxmlformats.org/officeDocument/2006/relationships/hyperlink" Target="https://dart.fss.or.kr/dsaf001/main.do?rcpNo=20251114002977" TargetMode="External" Id="rId387"/><Relationship Type="http://schemas.openxmlformats.org/officeDocument/2006/relationships/hyperlink" Target="https://dart.fss.or.kr/dsaf001/main.do?rcpNo=20241114002821" TargetMode="External" Id="rId388"/><Relationship Type="http://schemas.openxmlformats.org/officeDocument/2006/relationships/hyperlink" Target="https://dart.fss.or.kr/dsaf001/main.do?rcpNo=20251114002977" TargetMode="External" Id="rId389"/><Relationship Type="http://schemas.openxmlformats.org/officeDocument/2006/relationships/hyperlink" Target="https://dart.fss.or.kr/dsaf001/main.do?rcpNo=20241114002821" TargetMode="External" Id="rId390"/><Relationship Type="http://schemas.openxmlformats.org/officeDocument/2006/relationships/hyperlink" Target="https://dart.fss.or.kr/dsaf001/main.do?rcpNo=20251114002977" TargetMode="External" Id="rId391"/><Relationship Type="http://schemas.openxmlformats.org/officeDocument/2006/relationships/hyperlink" Target="https://dart.fss.or.kr/dsaf001/main.do?rcpNo=20241114002821" TargetMode="External" Id="rId392"/><Relationship Type="http://schemas.openxmlformats.org/officeDocument/2006/relationships/hyperlink" Target="https://dart.fss.or.kr/dsaf001/main.do?rcpNo=20261001000436" TargetMode="External" Id="rId393"/><Relationship Type="http://schemas.openxmlformats.org/officeDocument/2006/relationships/hyperlink" Target="https://dart.fss.or.kr/dsaf001/main.do?rcpNo=20260320001093" TargetMode="External" Id="rId394"/><Relationship Type="http://schemas.openxmlformats.org/officeDocument/2006/relationships/hyperlink" Target="https://dart.fss.or.kr/dsaf001/main.do?rcpNo=20250814004213" TargetMode="External" Id="rId395"/><Relationship Type="http://schemas.openxmlformats.org/officeDocument/2006/relationships/hyperlink" Target="https://dart.fss.or.kr/dsaf001/main.do?rcpNo=20261001000436" TargetMode="External" Id="rId396"/><Relationship Type="http://schemas.openxmlformats.org/officeDocument/2006/relationships/hyperlink" Target="https://dart.fss.or.kr/dsaf001/main.do?rcpNo=20260320001093" TargetMode="External" Id="rId397"/><Relationship Type="http://schemas.openxmlformats.org/officeDocument/2006/relationships/hyperlink" Target="https://dart.fss.or.kr/dsaf001/main.do?rcpNo=20250814004213" TargetMode="External" Id="rId398"/><Relationship Type="http://schemas.openxmlformats.org/officeDocument/2006/relationships/hyperlink" Target="https://dart.fss.or.kr/dsaf001/main.do?rcpNo=20261001000436" TargetMode="External" Id="rId399"/><Relationship Type="http://schemas.openxmlformats.org/officeDocument/2006/relationships/hyperlink" Target="https://dart.fss.or.kr/dsaf001/main.do?rcpNo=20260320001093" TargetMode="External" Id="rId400"/><Relationship Type="http://schemas.openxmlformats.org/officeDocument/2006/relationships/hyperlink" Target="https://dart.fss.or.kr/dsaf001/main.do?rcpNo=20250814004213" TargetMode="External" Id="rId401"/><Relationship Type="http://schemas.openxmlformats.org/officeDocument/2006/relationships/hyperlink" Target="https://dart.fss.or.kr/dsaf001/main.do?rcpNo=20261001000436" TargetMode="External" Id="rId402"/><Relationship Type="http://schemas.openxmlformats.org/officeDocument/2006/relationships/hyperlink" Target="https://dart.fss.or.kr/dsaf001/main.do?rcpNo=20260320001093" TargetMode="External" Id="rId403"/><Relationship Type="http://schemas.openxmlformats.org/officeDocument/2006/relationships/hyperlink" Target="https://dart.fss.or.kr/dsaf001/main.do?rcpNo=20250814004213" TargetMode="External" Id="rId404"/><Relationship Type="http://schemas.openxmlformats.org/officeDocument/2006/relationships/hyperlink" Target="https://dart.fss.or.kr/dsaf001/main.do?rcpNo=20261001000436" TargetMode="External" Id="rId405"/><Relationship Type="http://schemas.openxmlformats.org/officeDocument/2006/relationships/hyperlink" Target="https://dart.fss.or.kr/dsaf001/main.do?rcpNo=20260320001093" TargetMode="External" Id="rId406"/><Relationship Type="http://schemas.openxmlformats.org/officeDocument/2006/relationships/hyperlink" Target="https://dart.fss.or.kr/dsaf001/main.do?rcpNo=20250814004213" TargetMode="External" Id="rId407"/><Relationship Type="http://schemas.openxmlformats.org/officeDocument/2006/relationships/hyperlink" Target="https://dart.fss.or.kr/dsaf001/main.do?rcpNo=20261001000436" TargetMode="External" Id="rId408"/><Relationship Type="http://schemas.openxmlformats.org/officeDocument/2006/relationships/hyperlink" Target="https://dart.fss.or.kr/dsaf001/main.do?rcpNo=20260320001093" TargetMode="External" Id="rId409"/><Relationship Type="http://schemas.openxmlformats.org/officeDocument/2006/relationships/hyperlink" Target="https://dart.fss.or.kr/dsaf001/main.do?rcpNo=20250814004213" TargetMode="External" Id="rId410"/><Relationship Type="http://schemas.openxmlformats.org/officeDocument/2006/relationships/hyperlink" Target="https://dart.fss.or.kr/dsaf001/main.do?rcpNo=20261001000436" TargetMode="External" Id="rId411"/><Relationship Type="http://schemas.openxmlformats.org/officeDocument/2006/relationships/hyperlink" Target="https://dart.fss.or.kr/dsaf001/main.do?rcpNo=20250814004213" TargetMode="External" Id="rId412"/><Relationship Type="http://schemas.openxmlformats.org/officeDocument/2006/relationships/hyperlink" Target="https://dart.fss.or.kr/dsaf001/main.do?rcpNo=20261001000436" TargetMode="External" Id="rId413"/><Relationship Type="http://schemas.openxmlformats.org/officeDocument/2006/relationships/hyperlink" Target="https://dart.fss.or.kr/dsaf001/main.do?rcpNo=20250814004213" TargetMode="External" Id="rId414"/><Relationship Type="http://schemas.openxmlformats.org/officeDocument/2006/relationships/hyperlink" Target="https://dart.fss.or.kr/dsaf001/main.do?rcpNo=20261001000436" TargetMode="External" Id="rId415"/><Relationship Type="http://schemas.openxmlformats.org/officeDocument/2006/relationships/hyperlink" Target="https://dart.fss.or.kr/dsaf001/main.do?rcpNo=20250814004213" TargetMode="External" Id="rId416"/><Relationship Type="http://schemas.openxmlformats.org/officeDocument/2006/relationships/hyperlink" Target="https://dart.fss.or.kr/dsaf001/main.do?rcpNo=20261001000436" TargetMode="External" Id="rId417"/><Relationship Type="http://schemas.openxmlformats.org/officeDocument/2006/relationships/hyperlink" Target="https://dart.fss.or.kr/dsaf001/main.do?rcpNo=20250814004213" TargetMode="External" Id="rId418"/><Relationship Type="http://schemas.openxmlformats.org/officeDocument/2006/relationships/hyperlink" Target="https://dart.fss.or.kr/dsaf001/main.do?rcpNo=20261001000436" TargetMode="External" Id="rId419"/><Relationship Type="http://schemas.openxmlformats.org/officeDocument/2006/relationships/hyperlink" Target="https://dart.fss.or.kr/dsaf001/main.do?rcpNo=20250814004213" TargetMode="External" Id="rId420"/><Relationship Type="http://schemas.openxmlformats.org/officeDocument/2006/relationships/hyperlink" Target="https://dart.fss.or.kr/dsaf001/main.do?rcpNo=20260814004242" TargetMode="External" Id="rId421"/><Relationship Type="http://schemas.openxmlformats.org/officeDocument/2006/relationships/hyperlink" Target="https://dart.fss.or.kr/dsaf001/main.do?rcpNo=20260407002435" TargetMode="External" Id="rId422"/><Relationship Type="http://schemas.openxmlformats.org/officeDocument/2006/relationships/hyperlink" Target="https://dart.fss.or.kr/dsaf001/main.do?rcpNo=20250814001655" TargetMode="External" Id="rId423"/><Relationship Type="http://schemas.openxmlformats.org/officeDocument/2006/relationships/hyperlink" Target="https://dart.fss.or.kr/dsaf001/main.do?rcpNo=20260814004242" TargetMode="External" Id="rId424"/><Relationship Type="http://schemas.openxmlformats.org/officeDocument/2006/relationships/hyperlink" Target="https://dart.fss.or.kr/dsaf001/main.do?rcpNo=20260407002435" TargetMode="External" Id="rId425"/><Relationship Type="http://schemas.openxmlformats.org/officeDocument/2006/relationships/hyperlink" Target="https://dart.fss.or.kr/dsaf001/main.do?rcpNo=20250814001655" TargetMode="External" Id="rId426"/><Relationship Type="http://schemas.openxmlformats.org/officeDocument/2006/relationships/hyperlink" Target="https://dart.fss.or.kr/dsaf001/main.do?rcpNo=20260814004242" TargetMode="External" Id="rId427"/><Relationship Type="http://schemas.openxmlformats.org/officeDocument/2006/relationships/hyperlink" Target="https://dart.fss.or.kr/dsaf001/main.do?rcpNo=20260407002435" TargetMode="External" Id="rId428"/><Relationship Type="http://schemas.openxmlformats.org/officeDocument/2006/relationships/hyperlink" Target="https://dart.fss.or.kr/dsaf001/main.do?rcpNo=20250814001655" TargetMode="External" Id="rId429"/><Relationship Type="http://schemas.openxmlformats.org/officeDocument/2006/relationships/hyperlink" Target="https://dart.fss.or.kr/dsaf001/main.do?rcpNo=20260814004242" TargetMode="External" Id="rId430"/><Relationship Type="http://schemas.openxmlformats.org/officeDocument/2006/relationships/hyperlink" Target="https://dart.fss.or.kr/dsaf001/main.do?rcpNo=20260407002435" TargetMode="External" Id="rId431"/><Relationship Type="http://schemas.openxmlformats.org/officeDocument/2006/relationships/hyperlink" Target="https://dart.fss.or.kr/dsaf001/main.do?rcpNo=20250814001655" TargetMode="External" Id="rId432"/><Relationship Type="http://schemas.openxmlformats.org/officeDocument/2006/relationships/hyperlink" Target="https://dart.fss.or.kr/dsaf001/main.do?rcpNo=20260814004242" TargetMode="External" Id="rId433"/><Relationship Type="http://schemas.openxmlformats.org/officeDocument/2006/relationships/hyperlink" Target="https://dart.fss.or.kr/dsaf001/main.do?rcpNo=20260407002435" TargetMode="External" Id="rId434"/><Relationship Type="http://schemas.openxmlformats.org/officeDocument/2006/relationships/hyperlink" Target="https://dart.fss.or.kr/dsaf001/main.do?rcpNo=20250814001655" TargetMode="External" Id="rId435"/><Relationship Type="http://schemas.openxmlformats.org/officeDocument/2006/relationships/hyperlink" Target="https://dart.fss.or.kr/dsaf001/main.do?rcpNo=20260814004242" TargetMode="External" Id="rId436"/><Relationship Type="http://schemas.openxmlformats.org/officeDocument/2006/relationships/hyperlink" Target="https://dart.fss.or.kr/dsaf001/main.do?rcpNo=20260407002435" TargetMode="External" Id="rId437"/><Relationship Type="http://schemas.openxmlformats.org/officeDocument/2006/relationships/hyperlink" Target="https://dart.fss.or.kr/dsaf001/main.do?rcpNo=20250814001655" TargetMode="External" Id="rId438"/><Relationship Type="http://schemas.openxmlformats.org/officeDocument/2006/relationships/hyperlink" Target="https://dart.fss.or.kr/dsaf001/main.do?rcpNo=20260814004242" TargetMode="External" Id="rId439"/><Relationship Type="http://schemas.openxmlformats.org/officeDocument/2006/relationships/hyperlink" Target="https://dart.fss.or.kr/dsaf001/main.do?rcpNo=20250814001655" TargetMode="External" Id="rId440"/><Relationship Type="http://schemas.openxmlformats.org/officeDocument/2006/relationships/hyperlink" Target="https://dart.fss.or.kr/dsaf001/main.do?rcpNo=20260814004242" TargetMode="External" Id="rId441"/><Relationship Type="http://schemas.openxmlformats.org/officeDocument/2006/relationships/hyperlink" Target="https://dart.fss.or.kr/dsaf001/main.do?rcpNo=20250814001655" TargetMode="External" Id="rId442"/><Relationship Type="http://schemas.openxmlformats.org/officeDocument/2006/relationships/hyperlink" Target="https://dart.fss.or.kr/dsaf001/main.do?rcpNo=20260814004242" TargetMode="External" Id="rId443"/><Relationship Type="http://schemas.openxmlformats.org/officeDocument/2006/relationships/hyperlink" Target="https://dart.fss.or.kr/dsaf001/main.do?rcpNo=20250814001655" TargetMode="External" Id="rId444"/><Relationship Type="http://schemas.openxmlformats.org/officeDocument/2006/relationships/hyperlink" Target="https://dart.fss.or.kr/dsaf001/main.do?rcpNo=20260814004242" TargetMode="External" Id="rId445"/><Relationship Type="http://schemas.openxmlformats.org/officeDocument/2006/relationships/hyperlink" Target="https://dart.fss.or.kr/dsaf001/main.do?rcpNo=20250814001655" TargetMode="External" Id="rId446"/><Relationship Type="http://schemas.openxmlformats.org/officeDocument/2006/relationships/hyperlink" Target="https://dart.fss.or.kr/dsaf001/main.do?rcpNo=20260814004242" TargetMode="External" Id="rId447"/><Relationship Type="http://schemas.openxmlformats.org/officeDocument/2006/relationships/hyperlink" Target="https://dart.fss.or.kr/dsaf001/main.do?rcpNo=20250814001655" TargetMode="External" Id="rId448"/><Relationship Type="http://schemas.openxmlformats.org/officeDocument/2006/relationships/hyperlink" Target="https://dart.fss.or.kr/dsaf001/main.do?rcpNo=20260814001247" TargetMode="External" Id="rId449"/><Relationship Type="http://schemas.openxmlformats.org/officeDocument/2006/relationships/hyperlink" Target="https://dart.fss.or.kr/dsaf001/main.do?rcpNo=20260311003760" TargetMode="External" Id="rId450"/><Relationship Type="http://schemas.openxmlformats.org/officeDocument/2006/relationships/hyperlink" Target="https://dart.fss.or.kr/dsaf001/main.do?rcpNo=20250814000974" TargetMode="External" Id="rId451"/><Relationship Type="http://schemas.openxmlformats.org/officeDocument/2006/relationships/hyperlink" Target="https://dart.fss.or.kr/dsaf001/main.do?rcpNo=20260814001247" TargetMode="External" Id="rId452"/><Relationship Type="http://schemas.openxmlformats.org/officeDocument/2006/relationships/hyperlink" Target="https://dart.fss.or.kr/dsaf001/main.do?rcpNo=20260311003760" TargetMode="External" Id="rId453"/><Relationship Type="http://schemas.openxmlformats.org/officeDocument/2006/relationships/hyperlink" Target="https://dart.fss.or.kr/dsaf001/main.do?rcpNo=20250814000974" TargetMode="External" Id="rId454"/><Relationship Type="http://schemas.openxmlformats.org/officeDocument/2006/relationships/hyperlink" Target="https://dart.fss.or.kr/dsaf001/main.do?rcpNo=20260814001247" TargetMode="External" Id="rId455"/><Relationship Type="http://schemas.openxmlformats.org/officeDocument/2006/relationships/hyperlink" Target="https://dart.fss.or.kr/dsaf001/main.do?rcpNo=20260311003760" TargetMode="External" Id="rId456"/><Relationship Type="http://schemas.openxmlformats.org/officeDocument/2006/relationships/hyperlink" Target="https://dart.fss.or.kr/dsaf001/main.do?rcpNo=20250814000974" TargetMode="External" Id="rId457"/><Relationship Type="http://schemas.openxmlformats.org/officeDocument/2006/relationships/hyperlink" Target="https://dart.fss.or.kr/dsaf001/main.do?rcpNo=20260814001247" TargetMode="External" Id="rId458"/><Relationship Type="http://schemas.openxmlformats.org/officeDocument/2006/relationships/hyperlink" Target="https://dart.fss.or.kr/dsaf001/main.do?rcpNo=20260311003760" TargetMode="External" Id="rId459"/><Relationship Type="http://schemas.openxmlformats.org/officeDocument/2006/relationships/hyperlink" Target="https://dart.fss.or.kr/dsaf001/main.do?rcpNo=20250814000974" TargetMode="External" Id="rId460"/><Relationship Type="http://schemas.openxmlformats.org/officeDocument/2006/relationships/hyperlink" Target="https://dart.fss.or.kr/dsaf001/main.do?rcpNo=20260814001247" TargetMode="External" Id="rId461"/><Relationship Type="http://schemas.openxmlformats.org/officeDocument/2006/relationships/hyperlink" Target="https://dart.fss.or.kr/dsaf001/main.do?rcpNo=20260311003760" TargetMode="External" Id="rId462"/><Relationship Type="http://schemas.openxmlformats.org/officeDocument/2006/relationships/hyperlink" Target="https://dart.fss.or.kr/dsaf001/main.do?rcpNo=20250814000974" TargetMode="External" Id="rId463"/><Relationship Type="http://schemas.openxmlformats.org/officeDocument/2006/relationships/hyperlink" Target="https://dart.fss.or.kr/dsaf001/main.do?rcpNo=20260814001247" TargetMode="External" Id="rId464"/><Relationship Type="http://schemas.openxmlformats.org/officeDocument/2006/relationships/hyperlink" Target="https://dart.fss.or.kr/dsaf001/main.do?rcpNo=20260311003760" TargetMode="External" Id="rId465"/><Relationship Type="http://schemas.openxmlformats.org/officeDocument/2006/relationships/hyperlink" Target="https://dart.fss.or.kr/dsaf001/main.do?rcpNo=20250814000974" TargetMode="External" Id="rId466"/><Relationship Type="http://schemas.openxmlformats.org/officeDocument/2006/relationships/hyperlink" Target="https://dart.fss.or.kr/dsaf001/main.do?rcpNo=20260814001247" TargetMode="External" Id="rId467"/><Relationship Type="http://schemas.openxmlformats.org/officeDocument/2006/relationships/hyperlink" Target="https://dart.fss.or.kr/dsaf001/main.do?rcpNo=20250814000974" TargetMode="External" Id="rId468"/><Relationship Type="http://schemas.openxmlformats.org/officeDocument/2006/relationships/hyperlink" Target="https://dart.fss.or.kr/dsaf001/main.do?rcpNo=20260814001247" TargetMode="External" Id="rId469"/><Relationship Type="http://schemas.openxmlformats.org/officeDocument/2006/relationships/hyperlink" Target="https://dart.fss.or.kr/dsaf001/main.do?rcpNo=20250814000974" TargetMode="External" Id="rId470"/><Relationship Type="http://schemas.openxmlformats.org/officeDocument/2006/relationships/hyperlink" Target="https://dart.fss.or.kr/dsaf001/main.do?rcpNo=20260814001247" TargetMode="External" Id="rId471"/><Relationship Type="http://schemas.openxmlformats.org/officeDocument/2006/relationships/hyperlink" Target="https://dart.fss.or.kr/dsaf001/main.do?rcpNo=20250814000974" TargetMode="External" Id="rId472"/><Relationship Type="http://schemas.openxmlformats.org/officeDocument/2006/relationships/hyperlink" Target="https://dart.fss.or.kr/dsaf001/main.do?rcpNo=20260814001247" TargetMode="External" Id="rId473"/><Relationship Type="http://schemas.openxmlformats.org/officeDocument/2006/relationships/hyperlink" Target="https://dart.fss.or.kr/dsaf001/main.do?rcpNo=20250814000974" TargetMode="External" Id="rId474"/><Relationship Type="http://schemas.openxmlformats.org/officeDocument/2006/relationships/hyperlink" Target="https://dart.fss.or.kr/dsaf001/main.do?rcpNo=20260814001247" TargetMode="External" Id="rId475"/><Relationship Type="http://schemas.openxmlformats.org/officeDocument/2006/relationships/hyperlink" Target="https://dart.fss.or.kr/dsaf001/main.do?rcpNo=20250814000974" TargetMode="External" Id="rId476"/><Relationship Type="http://schemas.openxmlformats.org/officeDocument/2006/relationships/hyperlink" Target="https://dart.fss.or.kr/dsaf001/main.do?rcpNo=20260813001428" TargetMode="External" Id="rId477"/><Relationship Type="http://schemas.openxmlformats.org/officeDocument/2006/relationships/hyperlink" Target="https://dart.fss.or.kr/dsaf001/main.do?rcpNo=20260320000881" TargetMode="External" Id="rId478"/><Relationship Type="http://schemas.openxmlformats.org/officeDocument/2006/relationships/hyperlink" Target="https://dart.fss.or.kr/dsaf001/main.do?rcpNo=20250813001398" TargetMode="External" Id="rId479"/><Relationship Type="http://schemas.openxmlformats.org/officeDocument/2006/relationships/hyperlink" Target="https://dart.fss.or.kr/dsaf001/main.do?rcpNo=20260813001428" TargetMode="External" Id="rId480"/><Relationship Type="http://schemas.openxmlformats.org/officeDocument/2006/relationships/hyperlink" Target="https://dart.fss.or.kr/dsaf001/main.do?rcpNo=20260320000881" TargetMode="External" Id="rId481"/><Relationship Type="http://schemas.openxmlformats.org/officeDocument/2006/relationships/hyperlink" Target="https://dart.fss.or.kr/dsaf001/main.do?rcpNo=20250813001398" TargetMode="External" Id="rId482"/><Relationship Type="http://schemas.openxmlformats.org/officeDocument/2006/relationships/hyperlink" Target="https://dart.fss.or.kr/dsaf001/main.do?rcpNo=20260813001428" TargetMode="External" Id="rId483"/><Relationship Type="http://schemas.openxmlformats.org/officeDocument/2006/relationships/hyperlink" Target="https://dart.fss.or.kr/dsaf001/main.do?rcpNo=20260320000881" TargetMode="External" Id="rId484"/><Relationship Type="http://schemas.openxmlformats.org/officeDocument/2006/relationships/hyperlink" Target="https://dart.fss.or.kr/dsaf001/main.do?rcpNo=20250813001398" TargetMode="External" Id="rId485"/><Relationship Type="http://schemas.openxmlformats.org/officeDocument/2006/relationships/hyperlink" Target="https://dart.fss.or.kr/dsaf001/main.do?rcpNo=20260813001428" TargetMode="External" Id="rId486"/><Relationship Type="http://schemas.openxmlformats.org/officeDocument/2006/relationships/hyperlink" Target="https://dart.fss.or.kr/dsaf001/main.do?rcpNo=20260320000881" TargetMode="External" Id="rId487"/><Relationship Type="http://schemas.openxmlformats.org/officeDocument/2006/relationships/hyperlink" Target="https://dart.fss.or.kr/dsaf001/main.do?rcpNo=20250813001398" TargetMode="External" Id="rId488"/><Relationship Type="http://schemas.openxmlformats.org/officeDocument/2006/relationships/hyperlink" Target="https://dart.fss.or.kr/dsaf001/main.do?rcpNo=20260813001428" TargetMode="External" Id="rId489"/><Relationship Type="http://schemas.openxmlformats.org/officeDocument/2006/relationships/hyperlink" Target="https://dart.fss.or.kr/dsaf001/main.do?rcpNo=20260320000881" TargetMode="External" Id="rId490"/><Relationship Type="http://schemas.openxmlformats.org/officeDocument/2006/relationships/hyperlink" Target="https://dart.fss.or.kr/dsaf001/main.do?rcpNo=20250813001398" TargetMode="External" Id="rId491"/><Relationship Type="http://schemas.openxmlformats.org/officeDocument/2006/relationships/hyperlink" Target="https://dart.fss.or.kr/dsaf001/main.do?rcpNo=20260813001428" TargetMode="External" Id="rId492"/><Relationship Type="http://schemas.openxmlformats.org/officeDocument/2006/relationships/hyperlink" Target="https://dart.fss.or.kr/dsaf001/main.do?rcpNo=20260320000881" TargetMode="External" Id="rId493"/><Relationship Type="http://schemas.openxmlformats.org/officeDocument/2006/relationships/hyperlink" Target="https://dart.fss.or.kr/dsaf001/main.do?rcpNo=20250813001398" TargetMode="External" Id="rId494"/><Relationship Type="http://schemas.openxmlformats.org/officeDocument/2006/relationships/hyperlink" Target="https://dart.fss.or.kr/dsaf001/main.do?rcpNo=20260813001428" TargetMode="External" Id="rId495"/><Relationship Type="http://schemas.openxmlformats.org/officeDocument/2006/relationships/hyperlink" Target="https://dart.fss.or.kr/dsaf001/main.do?rcpNo=20250813001398" TargetMode="External" Id="rId496"/><Relationship Type="http://schemas.openxmlformats.org/officeDocument/2006/relationships/hyperlink" Target="https://dart.fss.or.kr/dsaf001/main.do?rcpNo=20260813001428" TargetMode="External" Id="rId497"/><Relationship Type="http://schemas.openxmlformats.org/officeDocument/2006/relationships/hyperlink" Target="https://dart.fss.or.kr/dsaf001/main.do?rcpNo=20250813001398" TargetMode="External" Id="rId498"/><Relationship Type="http://schemas.openxmlformats.org/officeDocument/2006/relationships/hyperlink" Target="https://dart.fss.or.kr/dsaf001/main.do?rcpNo=20260813001428" TargetMode="External" Id="rId499"/><Relationship Type="http://schemas.openxmlformats.org/officeDocument/2006/relationships/hyperlink" Target="https://dart.fss.or.kr/dsaf001/main.do?rcpNo=20250813001398" TargetMode="External" Id="rId500"/><Relationship Type="http://schemas.openxmlformats.org/officeDocument/2006/relationships/hyperlink" Target="https://dart.fss.or.kr/dsaf001/main.do?rcpNo=20260813001428" TargetMode="External" Id="rId501"/><Relationship Type="http://schemas.openxmlformats.org/officeDocument/2006/relationships/hyperlink" Target="https://dart.fss.or.kr/dsaf001/main.do?rcpNo=20250813001398" TargetMode="External" Id="rId502"/><Relationship Type="http://schemas.openxmlformats.org/officeDocument/2006/relationships/hyperlink" Target="https://dart.fss.or.kr/dsaf001/main.do?rcpNo=20260813001428" TargetMode="External" Id="rId503"/><Relationship Type="http://schemas.openxmlformats.org/officeDocument/2006/relationships/hyperlink" Target="https://dart.fss.or.kr/dsaf001/main.do?rcpNo=20250813001398" TargetMode="External" Id="rId504"/><Relationship Type="http://schemas.openxmlformats.org/officeDocument/2006/relationships/hyperlink" Target="https://dart.fss.or.kr/dsaf001/main.do?rcpNo=20260814000203" TargetMode="External" Id="rId505"/><Relationship Type="http://schemas.openxmlformats.org/officeDocument/2006/relationships/hyperlink" Target="https://dart.fss.or.kr/dsaf001/main.do?rcpNo=20260311004333" TargetMode="External" Id="rId506"/><Relationship Type="http://schemas.openxmlformats.org/officeDocument/2006/relationships/hyperlink" Target="https://dart.fss.or.kr/dsaf001/main.do?rcpNo=20250904000348" TargetMode="External" Id="rId507"/><Relationship Type="http://schemas.openxmlformats.org/officeDocument/2006/relationships/hyperlink" Target="https://dart.fss.or.kr/dsaf001/main.do?rcpNo=20260814000203" TargetMode="External" Id="rId508"/><Relationship Type="http://schemas.openxmlformats.org/officeDocument/2006/relationships/hyperlink" Target="https://dart.fss.or.kr/dsaf001/main.do?rcpNo=20260311004333" TargetMode="External" Id="rId509"/><Relationship Type="http://schemas.openxmlformats.org/officeDocument/2006/relationships/hyperlink" Target="https://dart.fss.or.kr/dsaf001/main.do?rcpNo=20250904000348" TargetMode="External" Id="rId510"/><Relationship Type="http://schemas.openxmlformats.org/officeDocument/2006/relationships/hyperlink" Target="https://dart.fss.or.kr/dsaf001/main.do?rcpNo=20260814000203" TargetMode="External" Id="rId511"/><Relationship Type="http://schemas.openxmlformats.org/officeDocument/2006/relationships/hyperlink" Target="https://dart.fss.or.kr/dsaf001/main.do?rcpNo=20260311004333" TargetMode="External" Id="rId512"/><Relationship Type="http://schemas.openxmlformats.org/officeDocument/2006/relationships/hyperlink" Target="https://dart.fss.or.kr/dsaf001/main.do?rcpNo=20250904000348" TargetMode="External" Id="rId513"/><Relationship Type="http://schemas.openxmlformats.org/officeDocument/2006/relationships/hyperlink" Target="https://dart.fss.or.kr/dsaf001/main.do?rcpNo=20260814000203" TargetMode="External" Id="rId514"/><Relationship Type="http://schemas.openxmlformats.org/officeDocument/2006/relationships/hyperlink" Target="https://dart.fss.or.kr/dsaf001/main.do?rcpNo=20260311004333" TargetMode="External" Id="rId515"/><Relationship Type="http://schemas.openxmlformats.org/officeDocument/2006/relationships/hyperlink" Target="https://dart.fss.or.kr/dsaf001/main.do?rcpNo=20250904000348" TargetMode="External" Id="rId516"/><Relationship Type="http://schemas.openxmlformats.org/officeDocument/2006/relationships/hyperlink" Target="https://dart.fss.or.kr/dsaf001/main.do?rcpNo=20260814000203" TargetMode="External" Id="rId517"/><Relationship Type="http://schemas.openxmlformats.org/officeDocument/2006/relationships/hyperlink" Target="https://dart.fss.or.kr/dsaf001/main.do?rcpNo=20260311004333" TargetMode="External" Id="rId518"/><Relationship Type="http://schemas.openxmlformats.org/officeDocument/2006/relationships/hyperlink" Target="https://dart.fss.or.kr/dsaf001/main.do?rcpNo=20250904000348" TargetMode="External" Id="rId519"/><Relationship Type="http://schemas.openxmlformats.org/officeDocument/2006/relationships/hyperlink" Target="https://dart.fss.or.kr/dsaf001/main.do?rcpNo=20260814000203" TargetMode="External" Id="rId520"/><Relationship Type="http://schemas.openxmlformats.org/officeDocument/2006/relationships/hyperlink" Target="https://dart.fss.or.kr/dsaf001/main.do?rcpNo=20260311004333" TargetMode="External" Id="rId521"/><Relationship Type="http://schemas.openxmlformats.org/officeDocument/2006/relationships/hyperlink" Target="https://dart.fss.or.kr/dsaf001/main.do?rcpNo=20250904000348" TargetMode="External" Id="rId522"/><Relationship Type="http://schemas.openxmlformats.org/officeDocument/2006/relationships/hyperlink" Target="https://dart.fss.or.kr/dsaf001/main.do?rcpNo=20260814000203" TargetMode="External" Id="rId523"/><Relationship Type="http://schemas.openxmlformats.org/officeDocument/2006/relationships/hyperlink" Target="https://dart.fss.or.kr/dsaf001/main.do?rcpNo=20250904000348" TargetMode="External" Id="rId524"/><Relationship Type="http://schemas.openxmlformats.org/officeDocument/2006/relationships/hyperlink" Target="https://dart.fss.or.kr/dsaf001/main.do?rcpNo=20260814000203" TargetMode="External" Id="rId525"/><Relationship Type="http://schemas.openxmlformats.org/officeDocument/2006/relationships/hyperlink" Target="https://dart.fss.or.kr/dsaf001/main.do?rcpNo=20250904000348" TargetMode="External" Id="rId526"/><Relationship Type="http://schemas.openxmlformats.org/officeDocument/2006/relationships/hyperlink" Target="https://dart.fss.or.kr/dsaf001/main.do?rcpNo=20260814000203" TargetMode="External" Id="rId527"/><Relationship Type="http://schemas.openxmlformats.org/officeDocument/2006/relationships/hyperlink" Target="https://dart.fss.or.kr/dsaf001/main.do?rcpNo=20250904000348" TargetMode="External" Id="rId528"/><Relationship Type="http://schemas.openxmlformats.org/officeDocument/2006/relationships/hyperlink" Target="https://dart.fss.or.kr/dsaf001/main.do?rcpNo=20260814000203" TargetMode="External" Id="rId529"/><Relationship Type="http://schemas.openxmlformats.org/officeDocument/2006/relationships/hyperlink" Target="https://dart.fss.or.kr/dsaf001/main.do?rcpNo=20250904000348" TargetMode="External" Id="rId530"/><Relationship Type="http://schemas.openxmlformats.org/officeDocument/2006/relationships/hyperlink" Target="https://dart.fss.or.kr/dsaf001/main.do?rcpNo=20260814000203" TargetMode="External" Id="rId531"/><Relationship Type="http://schemas.openxmlformats.org/officeDocument/2006/relationships/hyperlink" Target="https://dart.fss.or.kr/dsaf001/main.do?rcpNo=20250904000348" TargetMode="External" Id="rId532"/><Relationship Type="http://schemas.openxmlformats.org/officeDocument/2006/relationships/hyperlink" Target="https://dart.fss.or.kr/dsaf001/main.do?rcpNo=20260814003183" TargetMode="External" Id="rId533"/><Relationship Type="http://schemas.openxmlformats.org/officeDocument/2006/relationships/hyperlink" Target="https://dart.fss.or.kr/dsaf001/main.do?rcpNo=20260323000880" TargetMode="External" Id="rId534"/><Relationship Type="http://schemas.openxmlformats.org/officeDocument/2006/relationships/hyperlink" Target="https://dart.fss.or.kr/dsaf001/main.do?rcpNo=20250822000276" TargetMode="External" Id="rId535"/><Relationship Type="http://schemas.openxmlformats.org/officeDocument/2006/relationships/hyperlink" Target="https://dart.fss.or.kr/dsaf001/main.do?rcpNo=20260814003183" TargetMode="External" Id="rId536"/><Relationship Type="http://schemas.openxmlformats.org/officeDocument/2006/relationships/hyperlink" Target="https://dart.fss.or.kr/dsaf001/main.do?rcpNo=20260323000880" TargetMode="External" Id="rId537"/><Relationship Type="http://schemas.openxmlformats.org/officeDocument/2006/relationships/hyperlink" Target="https://dart.fss.or.kr/dsaf001/main.do?rcpNo=20250822000276" TargetMode="External" Id="rId538"/><Relationship Type="http://schemas.openxmlformats.org/officeDocument/2006/relationships/hyperlink" Target="https://dart.fss.or.kr/dsaf001/main.do?rcpNo=20260814003183" TargetMode="External" Id="rId539"/><Relationship Type="http://schemas.openxmlformats.org/officeDocument/2006/relationships/hyperlink" Target="https://dart.fss.or.kr/dsaf001/main.do?rcpNo=20260323000880" TargetMode="External" Id="rId540"/><Relationship Type="http://schemas.openxmlformats.org/officeDocument/2006/relationships/hyperlink" Target="https://dart.fss.or.kr/dsaf001/main.do?rcpNo=20250822000276" TargetMode="External" Id="rId541"/><Relationship Type="http://schemas.openxmlformats.org/officeDocument/2006/relationships/hyperlink" Target="https://dart.fss.or.kr/dsaf001/main.do?rcpNo=20260814003183" TargetMode="External" Id="rId542"/><Relationship Type="http://schemas.openxmlformats.org/officeDocument/2006/relationships/hyperlink" Target="https://dart.fss.or.kr/dsaf001/main.do?rcpNo=20260323000880" TargetMode="External" Id="rId543"/><Relationship Type="http://schemas.openxmlformats.org/officeDocument/2006/relationships/hyperlink" Target="https://dart.fss.or.kr/dsaf001/main.do?rcpNo=20250822000276" TargetMode="External" Id="rId544"/><Relationship Type="http://schemas.openxmlformats.org/officeDocument/2006/relationships/hyperlink" Target="https://dart.fss.or.kr/dsaf001/main.do?rcpNo=20260814003183" TargetMode="External" Id="rId545"/><Relationship Type="http://schemas.openxmlformats.org/officeDocument/2006/relationships/hyperlink" Target="https://dart.fss.or.kr/dsaf001/main.do?rcpNo=20260323000880" TargetMode="External" Id="rId546"/><Relationship Type="http://schemas.openxmlformats.org/officeDocument/2006/relationships/hyperlink" Target="https://dart.fss.or.kr/dsaf001/main.do?rcpNo=20250822000276" TargetMode="External" Id="rId547"/><Relationship Type="http://schemas.openxmlformats.org/officeDocument/2006/relationships/hyperlink" Target="https://dart.fss.or.kr/dsaf001/main.do?rcpNo=20260814003183" TargetMode="External" Id="rId548"/><Relationship Type="http://schemas.openxmlformats.org/officeDocument/2006/relationships/hyperlink" Target="https://dart.fss.or.kr/dsaf001/main.do?rcpNo=20260323000880" TargetMode="External" Id="rId549"/><Relationship Type="http://schemas.openxmlformats.org/officeDocument/2006/relationships/hyperlink" Target="https://dart.fss.or.kr/dsaf001/main.do?rcpNo=20250822000276" TargetMode="External" Id="rId550"/><Relationship Type="http://schemas.openxmlformats.org/officeDocument/2006/relationships/hyperlink" Target="https://dart.fss.or.kr/dsaf001/main.do?rcpNo=20260814003183" TargetMode="External" Id="rId551"/><Relationship Type="http://schemas.openxmlformats.org/officeDocument/2006/relationships/hyperlink" Target="https://dart.fss.or.kr/dsaf001/main.do?rcpNo=20250822000276" TargetMode="External" Id="rId552"/><Relationship Type="http://schemas.openxmlformats.org/officeDocument/2006/relationships/hyperlink" Target="https://dart.fss.or.kr/dsaf001/main.do?rcpNo=20260814003183" TargetMode="External" Id="rId553"/><Relationship Type="http://schemas.openxmlformats.org/officeDocument/2006/relationships/hyperlink" Target="https://dart.fss.or.kr/dsaf001/main.do?rcpNo=20250822000276" TargetMode="External" Id="rId554"/><Relationship Type="http://schemas.openxmlformats.org/officeDocument/2006/relationships/hyperlink" Target="https://dart.fss.or.kr/dsaf001/main.do?rcpNo=20260814003183" TargetMode="External" Id="rId555"/><Relationship Type="http://schemas.openxmlformats.org/officeDocument/2006/relationships/hyperlink" Target="https://dart.fss.or.kr/dsaf001/main.do?rcpNo=20250822000276" TargetMode="External" Id="rId556"/><Relationship Type="http://schemas.openxmlformats.org/officeDocument/2006/relationships/hyperlink" Target="https://dart.fss.or.kr/dsaf001/main.do?rcpNo=20260814003183" TargetMode="External" Id="rId557"/><Relationship Type="http://schemas.openxmlformats.org/officeDocument/2006/relationships/hyperlink" Target="https://dart.fss.or.kr/dsaf001/main.do?rcpNo=20250822000276" TargetMode="External" Id="rId558"/><Relationship Type="http://schemas.openxmlformats.org/officeDocument/2006/relationships/hyperlink" Target="https://dart.fss.or.kr/dsaf001/main.do?rcpNo=20260814003183" TargetMode="External" Id="rId559"/><Relationship Type="http://schemas.openxmlformats.org/officeDocument/2006/relationships/hyperlink" Target="https://dart.fss.or.kr/dsaf001/main.do?rcpNo=20250822000276" TargetMode="External" Id="rId560"/><Relationship Type="http://schemas.openxmlformats.org/officeDocument/2006/relationships/hyperlink" Target="https://dart.fss.or.kr/dsaf001/main.do?rcpNo=20260814002858" TargetMode="External" Id="rId561"/><Relationship Type="http://schemas.openxmlformats.org/officeDocument/2006/relationships/hyperlink" Target="https://dart.fss.or.kr/dsaf001/main.do?rcpNo=20260316001301" TargetMode="External" Id="rId562"/><Relationship Type="http://schemas.openxmlformats.org/officeDocument/2006/relationships/hyperlink" Target="https://dart.fss.or.kr/dsaf001/main.do?rcpNo=20250814002539" TargetMode="External" Id="rId563"/><Relationship Type="http://schemas.openxmlformats.org/officeDocument/2006/relationships/hyperlink" Target="https://dart.fss.or.kr/dsaf001/main.do?rcpNo=20260814002858" TargetMode="External" Id="rId564"/><Relationship Type="http://schemas.openxmlformats.org/officeDocument/2006/relationships/hyperlink" Target="https://dart.fss.or.kr/dsaf001/main.do?rcpNo=20260316001301" TargetMode="External" Id="rId565"/><Relationship Type="http://schemas.openxmlformats.org/officeDocument/2006/relationships/hyperlink" Target="https://dart.fss.or.kr/dsaf001/main.do?rcpNo=20250814002539" TargetMode="External" Id="rId566"/><Relationship Type="http://schemas.openxmlformats.org/officeDocument/2006/relationships/hyperlink" Target="https://dart.fss.or.kr/dsaf001/main.do?rcpNo=20260814002858" TargetMode="External" Id="rId567"/><Relationship Type="http://schemas.openxmlformats.org/officeDocument/2006/relationships/hyperlink" Target="https://dart.fss.or.kr/dsaf001/main.do?rcpNo=20260316001301" TargetMode="External" Id="rId568"/><Relationship Type="http://schemas.openxmlformats.org/officeDocument/2006/relationships/hyperlink" Target="https://dart.fss.or.kr/dsaf001/main.do?rcpNo=20250814002539" TargetMode="External" Id="rId569"/><Relationship Type="http://schemas.openxmlformats.org/officeDocument/2006/relationships/hyperlink" Target="https://dart.fss.or.kr/dsaf001/main.do?rcpNo=20260814002858" TargetMode="External" Id="rId570"/><Relationship Type="http://schemas.openxmlformats.org/officeDocument/2006/relationships/hyperlink" Target="https://dart.fss.or.kr/dsaf001/main.do?rcpNo=20260316001301" TargetMode="External" Id="rId571"/><Relationship Type="http://schemas.openxmlformats.org/officeDocument/2006/relationships/hyperlink" Target="https://dart.fss.or.kr/dsaf001/main.do?rcpNo=20250814002539" TargetMode="External" Id="rId572"/><Relationship Type="http://schemas.openxmlformats.org/officeDocument/2006/relationships/hyperlink" Target="https://dart.fss.or.kr/dsaf001/main.do?rcpNo=20260814002858" TargetMode="External" Id="rId573"/><Relationship Type="http://schemas.openxmlformats.org/officeDocument/2006/relationships/hyperlink" Target="https://dart.fss.or.kr/dsaf001/main.do?rcpNo=20260316001301" TargetMode="External" Id="rId574"/><Relationship Type="http://schemas.openxmlformats.org/officeDocument/2006/relationships/hyperlink" Target="https://dart.fss.or.kr/dsaf001/main.do?rcpNo=20250814002539" TargetMode="External" Id="rId575"/><Relationship Type="http://schemas.openxmlformats.org/officeDocument/2006/relationships/hyperlink" Target="https://dart.fss.or.kr/dsaf001/main.do?rcpNo=20260814002858" TargetMode="External" Id="rId576"/><Relationship Type="http://schemas.openxmlformats.org/officeDocument/2006/relationships/hyperlink" Target="https://dart.fss.or.kr/dsaf001/main.do?rcpNo=20260316001301" TargetMode="External" Id="rId577"/><Relationship Type="http://schemas.openxmlformats.org/officeDocument/2006/relationships/hyperlink" Target="https://dart.fss.or.kr/dsaf001/main.do?rcpNo=20250814002539" TargetMode="External" Id="rId578"/><Relationship Type="http://schemas.openxmlformats.org/officeDocument/2006/relationships/hyperlink" Target="https://dart.fss.or.kr/dsaf001/main.do?rcpNo=20260814002858" TargetMode="External" Id="rId579"/><Relationship Type="http://schemas.openxmlformats.org/officeDocument/2006/relationships/hyperlink" Target="https://dart.fss.or.kr/dsaf001/main.do?rcpNo=20250814002539" TargetMode="External" Id="rId580"/><Relationship Type="http://schemas.openxmlformats.org/officeDocument/2006/relationships/hyperlink" Target="https://dart.fss.or.kr/dsaf001/main.do?rcpNo=20260814002858" TargetMode="External" Id="rId581"/><Relationship Type="http://schemas.openxmlformats.org/officeDocument/2006/relationships/hyperlink" Target="https://dart.fss.or.kr/dsaf001/main.do?rcpNo=20250814002539" TargetMode="External" Id="rId582"/><Relationship Type="http://schemas.openxmlformats.org/officeDocument/2006/relationships/hyperlink" Target="https://dart.fss.or.kr/dsaf001/main.do?rcpNo=20260814002858" TargetMode="External" Id="rId583"/><Relationship Type="http://schemas.openxmlformats.org/officeDocument/2006/relationships/hyperlink" Target="https://dart.fss.or.kr/dsaf001/main.do?rcpNo=20250814002539" TargetMode="External" Id="rId584"/><Relationship Type="http://schemas.openxmlformats.org/officeDocument/2006/relationships/hyperlink" Target="https://dart.fss.or.kr/dsaf001/main.do?rcpNo=20260814002858" TargetMode="External" Id="rId585"/><Relationship Type="http://schemas.openxmlformats.org/officeDocument/2006/relationships/hyperlink" Target="https://dart.fss.or.kr/dsaf001/main.do?rcpNo=20250814002539" TargetMode="External" Id="rId586"/><Relationship Type="http://schemas.openxmlformats.org/officeDocument/2006/relationships/hyperlink" Target="https://dart.fss.or.kr/dsaf001/main.do?rcpNo=20260814002858" TargetMode="External" Id="rId587"/><Relationship Type="http://schemas.openxmlformats.org/officeDocument/2006/relationships/hyperlink" Target="https://dart.fss.or.kr/dsaf001/main.do?rcpNo=20250814002539" TargetMode="External" Id="rId588"/><Relationship Type="http://schemas.openxmlformats.org/officeDocument/2006/relationships/hyperlink" Target="https://dart.fss.or.kr/dsaf001/main.do?rcpNo=20260814000691" TargetMode="External" Id="rId589"/><Relationship Type="http://schemas.openxmlformats.org/officeDocument/2006/relationships/hyperlink" Target="https://dart.fss.or.kr/dsaf001/main.do?rcpNo=20260318000485" TargetMode="External" Id="rId590"/><Relationship Type="http://schemas.openxmlformats.org/officeDocument/2006/relationships/hyperlink" Target="https://dart.fss.or.kr/dsaf001/main.do?rcpNo=20250814001480" TargetMode="External" Id="rId591"/><Relationship Type="http://schemas.openxmlformats.org/officeDocument/2006/relationships/hyperlink" Target="https://dart.fss.or.kr/dsaf001/main.do?rcpNo=20260814000691" TargetMode="External" Id="rId592"/><Relationship Type="http://schemas.openxmlformats.org/officeDocument/2006/relationships/hyperlink" Target="https://dart.fss.or.kr/dsaf001/main.do?rcpNo=20260318000485" TargetMode="External" Id="rId593"/><Relationship Type="http://schemas.openxmlformats.org/officeDocument/2006/relationships/hyperlink" Target="https://dart.fss.or.kr/dsaf001/main.do?rcpNo=20250814001480" TargetMode="External" Id="rId594"/><Relationship Type="http://schemas.openxmlformats.org/officeDocument/2006/relationships/hyperlink" Target="https://dart.fss.or.kr/dsaf001/main.do?rcpNo=20260814000691" TargetMode="External" Id="rId595"/><Relationship Type="http://schemas.openxmlformats.org/officeDocument/2006/relationships/hyperlink" Target="https://dart.fss.or.kr/dsaf001/main.do?rcpNo=20260318000485" TargetMode="External" Id="rId596"/><Relationship Type="http://schemas.openxmlformats.org/officeDocument/2006/relationships/hyperlink" Target="https://dart.fss.or.kr/dsaf001/main.do?rcpNo=20250814001480" TargetMode="External" Id="rId597"/><Relationship Type="http://schemas.openxmlformats.org/officeDocument/2006/relationships/hyperlink" Target="https://dart.fss.or.kr/dsaf001/main.do?rcpNo=20260814000691" TargetMode="External" Id="rId598"/><Relationship Type="http://schemas.openxmlformats.org/officeDocument/2006/relationships/hyperlink" Target="https://dart.fss.or.kr/dsaf001/main.do?rcpNo=20260318000485" TargetMode="External" Id="rId599"/><Relationship Type="http://schemas.openxmlformats.org/officeDocument/2006/relationships/hyperlink" Target="https://dart.fss.or.kr/dsaf001/main.do?rcpNo=20250814001480" TargetMode="External" Id="rId600"/><Relationship Type="http://schemas.openxmlformats.org/officeDocument/2006/relationships/hyperlink" Target="https://dart.fss.or.kr/dsaf001/main.do?rcpNo=20260814000691" TargetMode="External" Id="rId601"/><Relationship Type="http://schemas.openxmlformats.org/officeDocument/2006/relationships/hyperlink" Target="https://dart.fss.or.kr/dsaf001/main.do?rcpNo=20260318000485" TargetMode="External" Id="rId602"/><Relationship Type="http://schemas.openxmlformats.org/officeDocument/2006/relationships/hyperlink" Target="https://dart.fss.or.kr/dsaf001/main.do?rcpNo=20250814001480" TargetMode="External" Id="rId603"/><Relationship Type="http://schemas.openxmlformats.org/officeDocument/2006/relationships/hyperlink" Target="https://dart.fss.or.kr/dsaf001/main.do?rcpNo=20260814000691" TargetMode="External" Id="rId604"/><Relationship Type="http://schemas.openxmlformats.org/officeDocument/2006/relationships/hyperlink" Target="https://dart.fss.or.kr/dsaf001/main.do?rcpNo=20260318000485" TargetMode="External" Id="rId605"/><Relationship Type="http://schemas.openxmlformats.org/officeDocument/2006/relationships/hyperlink" Target="https://dart.fss.or.kr/dsaf001/main.do?rcpNo=20250814001480" TargetMode="External" Id="rId606"/><Relationship Type="http://schemas.openxmlformats.org/officeDocument/2006/relationships/hyperlink" Target="https://dart.fss.or.kr/dsaf001/main.do?rcpNo=20260814000691" TargetMode="External" Id="rId607"/><Relationship Type="http://schemas.openxmlformats.org/officeDocument/2006/relationships/hyperlink" Target="https://dart.fss.or.kr/dsaf001/main.do?rcpNo=20250814001480" TargetMode="External" Id="rId608"/><Relationship Type="http://schemas.openxmlformats.org/officeDocument/2006/relationships/hyperlink" Target="https://dart.fss.or.kr/dsaf001/main.do?rcpNo=20260814000691" TargetMode="External" Id="rId609"/><Relationship Type="http://schemas.openxmlformats.org/officeDocument/2006/relationships/hyperlink" Target="https://dart.fss.or.kr/dsaf001/main.do?rcpNo=20250814001480" TargetMode="External" Id="rId610"/><Relationship Type="http://schemas.openxmlformats.org/officeDocument/2006/relationships/hyperlink" Target="https://dart.fss.or.kr/dsaf001/main.do?rcpNo=20260814000691" TargetMode="External" Id="rId611"/><Relationship Type="http://schemas.openxmlformats.org/officeDocument/2006/relationships/hyperlink" Target="https://dart.fss.or.kr/dsaf001/main.do?rcpNo=20250814001480" TargetMode="External" Id="rId612"/><Relationship Type="http://schemas.openxmlformats.org/officeDocument/2006/relationships/hyperlink" Target="https://dart.fss.or.kr/dsaf001/main.do?rcpNo=20260814000691" TargetMode="External" Id="rId613"/><Relationship Type="http://schemas.openxmlformats.org/officeDocument/2006/relationships/hyperlink" Target="https://dart.fss.or.kr/dsaf001/main.do?rcpNo=20250814001480" TargetMode="External" Id="rId614"/><Relationship Type="http://schemas.openxmlformats.org/officeDocument/2006/relationships/hyperlink" Target="https://dart.fss.or.kr/dsaf001/main.do?rcpNo=20260814000691" TargetMode="External" Id="rId615"/><Relationship Type="http://schemas.openxmlformats.org/officeDocument/2006/relationships/hyperlink" Target="https://dart.fss.or.kr/dsaf001/main.do?rcpNo=20250814001480" TargetMode="External" Id="rId616"/><Relationship Type="http://schemas.openxmlformats.org/officeDocument/2006/relationships/hyperlink" Target="https://dart.fss.or.kr/dsaf001/main.do?rcpNo=20260814001912" TargetMode="External" Id="rId617"/><Relationship Type="http://schemas.openxmlformats.org/officeDocument/2006/relationships/hyperlink" Target="https://dart.fss.or.kr/dsaf001/main.do?rcpNo=20260316001329" TargetMode="External" Id="rId618"/><Relationship Type="http://schemas.openxmlformats.org/officeDocument/2006/relationships/hyperlink" Target="https://dart.fss.or.kr/dsaf001/main.do?rcpNo=20250814003346" TargetMode="External" Id="rId619"/><Relationship Type="http://schemas.openxmlformats.org/officeDocument/2006/relationships/hyperlink" Target="https://dart.fss.or.kr/dsaf001/main.do?rcpNo=20260814001912" TargetMode="External" Id="rId620"/><Relationship Type="http://schemas.openxmlformats.org/officeDocument/2006/relationships/hyperlink" Target="https://dart.fss.or.kr/dsaf001/main.do?rcpNo=20260316001329" TargetMode="External" Id="rId621"/><Relationship Type="http://schemas.openxmlformats.org/officeDocument/2006/relationships/hyperlink" Target="https://dart.fss.or.kr/dsaf001/main.do?rcpNo=20250814003346" TargetMode="External" Id="rId622"/><Relationship Type="http://schemas.openxmlformats.org/officeDocument/2006/relationships/hyperlink" Target="https://dart.fss.or.kr/dsaf001/main.do?rcpNo=20260814001912" TargetMode="External" Id="rId623"/><Relationship Type="http://schemas.openxmlformats.org/officeDocument/2006/relationships/hyperlink" Target="https://dart.fss.or.kr/dsaf001/main.do?rcpNo=20260316001329" TargetMode="External" Id="rId624"/><Relationship Type="http://schemas.openxmlformats.org/officeDocument/2006/relationships/hyperlink" Target="https://dart.fss.or.kr/dsaf001/main.do?rcpNo=20250814003346" TargetMode="External" Id="rId625"/><Relationship Type="http://schemas.openxmlformats.org/officeDocument/2006/relationships/hyperlink" Target="https://dart.fss.or.kr/dsaf001/main.do?rcpNo=20260814001912" TargetMode="External" Id="rId626"/><Relationship Type="http://schemas.openxmlformats.org/officeDocument/2006/relationships/hyperlink" Target="https://dart.fss.or.kr/dsaf001/main.do?rcpNo=20260316001329" TargetMode="External" Id="rId627"/><Relationship Type="http://schemas.openxmlformats.org/officeDocument/2006/relationships/hyperlink" Target="https://dart.fss.or.kr/dsaf001/main.do?rcpNo=20250814003346" TargetMode="External" Id="rId628"/><Relationship Type="http://schemas.openxmlformats.org/officeDocument/2006/relationships/hyperlink" Target="https://dart.fss.or.kr/dsaf001/main.do?rcpNo=20260814001912" TargetMode="External" Id="rId629"/><Relationship Type="http://schemas.openxmlformats.org/officeDocument/2006/relationships/hyperlink" Target="https://dart.fss.or.kr/dsaf001/main.do?rcpNo=20260316001329" TargetMode="External" Id="rId630"/><Relationship Type="http://schemas.openxmlformats.org/officeDocument/2006/relationships/hyperlink" Target="https://dart.fss.or.kr/dsaf001/main.do?rcpNo=20250814003346" TargetMode="External" Id="rId631"/><Relationship Type="http://schemas.openxmlformats.org/officeDocument/2006/relationships/hyperlink" Target="https://dart.fss.or.kr/dsaf001/main.do?rcpNo=20260814001912" TargetMode="External" Id="rId632"/><Relationship Type="http://schemas.openxmlformats.org/officeDocument/2006/relationships/hyperlink" Target="https://dart.fss.or.kr/dsaf001/main.do?rcpNo=20260316001329" TargetMode="External" Id="rId633"/><Relationship Type="http://schemas.openxmlformats.org/officeDocument/2006/relationships/hyperlink" Target="https://dart.fss.or.kr/dsaf001/main.do?rcpNo=20250814003346" TargetMode="External" Id="rId634"/><Relationship Type="http://schemas.openxmlformats.org/officeDocument/2006/relationships/hyperlink" Target="https://dart.fss.or.kr/dsaf001/main.do?rcpNo=20260814001912" TargetMode="External" Id="rId635"/><Relationship Type="http://schemas.openxmlformats.org/officeDocument/2006/relationships/hyperlink" Target="https://dart.fss.or.kr/dsaf001/main.do?rcpNo=20250814003346" TargetMode="External" Id="rId636"/><Relationship Type="http://schemas.openxmlformats.org/officeDocument/2006/relationships/hyperlink" Target="https://dart.fss.or.kr/dsaf001/main.do?rcpNo=20260814001912" TargetMode="External" Id="rId637"/><Relationship Type="http://schemas.openxmlformats.org/officeDocument/2006/relationships/hyperlink" Target="https://dart.fss.or.kr/dsaf001/main.do?rcpNo=20250814003346" TargetMode="External" Id="rId638"/><Relationship Type="http://schemas.openxmlformats.org/officeDocument/2006/relationships/hyperlink" Target="https://dart.fss.or.kr/dsaf001/main.do?rcpNo=20260814001912" TargetMode="External" Id="rId639"/><Relationship Type="http://schemas.openxmlformats.org/officeDocument/2006/relationships/hyperlink" Target="https://dart.fss.or.kr/dsaf001/main.do?rcpNo=20250814003346" TargetMode="External" Id="rId640"/><Relationship Type="http://schemas.openxmlformats.org/officeDocument/2006/relationships/hyperlink" Target="https://dart.fss.or.kr/dsaf001/main.do?rcpNo=20260814001912" TargetMode="External" Id="rId641"/><Relationship Type="http://schemas.openxmlformats.org/officeDocument/2006/relationships/hyperlink" Target="https://dart.fss.or.kr/dsaf001/main.do?rcpNo=20250814003346" TargetMode="External" Id="rId642"/><Relationship Type="http://schemas.openxmlformats.org/officeDocument/2006/relationships/hyperlink" Target="https://dart.fss.or.kr/dsaf001/main.do?rcpNo=20260814001912" TargetMode="External" Id="rId643"/><Relationship Type="http://schemas.openxmlformats.org/officeDocument/2006/relationships/hyperlink" Target="https://dart.fss.or.kr/dsaf001/main.do?rcpNo=20250814003346" TargetMode="External" Id="rId644"/><Relationship Type="http://schemas.openxmlformats.org/officeDocument/2006/relationships/hyperlink" Target="https://dart.fss.or.kr/dsaf001/main.do?rcpNo=20260814002813" TargetMode="External" Id="rId645"/><Relationship Type="http://schemas.openxmlformats.org/officeDocument/2006/relationships/hyperlink" Target="https://dart.fss.or.kr/dsaf001/main.do?rcpNo=20260323001163" TargetMode="External" Id="rId646"/><Relationship Type="http://schemas.openxmlformats.org/officeDocument/2006/relationships/hyperlink" Target="https://dart.fss.or.kr/dsaf001/main.do?rcpNo=20250814002857" TargetMode="External" Id="rId647"/><Relationship Type="http://schemas.openxmlformats.org/officeDocument/2006/relationships/hyperlink" Target="https://dart.fss.or.kr/dsaf001/main.do?rcpNo=20260814002813" TargetMode="External" Id="rId648"/><Relationship Type="http://schemas.openxmlformats.org/officeDocument/2006/relationships/hyperlink" Target="https://dart.fss.or.kr/dsaf001/main.do?rcpNo=20260323001163" TargetMode="External" Id="rId649"/><Relationship Type="http://schemas.openxmlformats.org/officeDocument/2006/relationships/hyperlink" Target="https://dart.fss.or.kr/dsaf001/main.do?rcpNo=20250814002857" TargetMode="External" Id="rId650"/><Relationship Type="http://schemas.openxmlformats.org/officeDocument/2006/relationships/hyperlink" Target="https://dart.fss.or.kr/dsaf001/main.do?rcpNo=20260814002813" TargetMode="External" Id="rId651"/><Relationship Type="http://schemas.openxmlformats.org/officeDocument/2006/relationships/hyperlink" Target="https://dart.fss.or.kr/dsaf001/main.do?rcpNo=20260323001163" TargetMode="External" Id="rId652"/><Relationship Type="http://schemas.openxmlformats.org/officeDocument/2006/relationships/hyperlink" Target="https://dart.fss.or.kr/dsaf001/main.do?rcpNo=20250814002857" TargetMode="External" Id="rId653"/><Relationship Type="http://schemas.openxmlformats.org/officeDocument/2006/relationships/hyperlink" Target="https://dart.fss.or.kr/dsaf001/main.do?rcpNo=20260814002813" TargetMode="External" Id="rId654"/><Relationship Type="http://schemas.openxmlformats.org/officeDocument/2006/relationships/hyperlink" Target="https://dart.fss.or.kr/dsaf001/main.do?rcpNo=20260323001163" TargetMode="External" Id="rId655"/><Relationship Type="http://schemas.openxmlformats.org/officeDocument/2006/relationships/hyperlink" Target="https://dart.fss.or.kr/dsaf001/main.do?rcpNo=20250814002857" TargetMode="External" Id="rId656"/><Relationship Type="http://schemas.openxmlformats.org/officeDocument/2006/relationships/hyperlink" Target="https://dart.fss.or.kr/dsaf001/main.do?rcpNo=20260814002813" TargetMode="External" Id="rId657"/><Relationship Type="http://schemas.openxmlformats.org/officeDocument/2006/relationships/hyperlink" Target="https://dart.fss.or.kr/dsaf001/main.do?rcpNo=20260323001163" TargetMode="External" Id="rId658"/><Relationship Type="http://schemas.openxmlformats.org/officeDocument/2006/relationships/hyperlink" Target="https://dart.fss.or.kr/dsaf001/main.do?rcpNo=20250814002857" TargetMode="External" Id="rId659"/><Relationship Type="http://schemas.openxmlformats.org/officeDocument/2006/relationships/hyperlink" Target="https://dart.fss.or.kr/dsaf001/main.do?rcpNo=20260814002813" TargetMode="External" Id="rId660"/><Relationship Type="http://schemas.openxmlformats.org/officeDocument/2006/relationships/hyperlink" Target="https://dart.fss.or.kr/dsaf001/main.do?rcpNo=20260323001163" TargetMode="External" Id="rId661"/><Relationship Type="http://schemas.openxmlformats.org/officeDocument/2006/relationships/hyperlink" Target="https://dart.fss.or.kr/dsaf001/main.do?rcpNo=20250814002857" TargetMode="External" Id="rId662"/><Relationship Type="http://schemas.openxmlformats.org/officeDocument/2006/relationships/hyperlink" Target="https://dart.fss.or.kr/dsaf001/main.do?rcpNo=20260814002813" TargetMode="External" Id="rId663"/><Relationship Type="http://schemas.openxmlformats.org/officeDocument/2006/relationships/hyperlink" Target="https://dart.fss.or.kr/dsaf001/main.do?rcpNo=20250814002857" TargetMode="External" Id="rId664"/><Relationship Type="http://schemas.openxmlformats.org/officeDocument/2006/relationships/hyperlink" Target="https://dart.fss.or.kr/dsaf001/main.do?rcpNo=20260814002813" TargetMode="External" Id="rId665"/><Relationship Type="http://schemas.openxmlformats.org/officeDocument/2006/relationships/hyperlink" Target="https://dart.fss.or.kr/dsaf001/main.do?rcpNo=20250814002857" TargetMode="External" Id="rId666"/><Relationship Type="http://schemas.openxmlformats.org/officeDocument/2006/relationships/hyperlink" Target="https://dart.fss.or.kr/dsaf001/main.do?rcpNo=20260814002813" TargetMode="External" Id="rId667"/><Relationship Type="http://schemas.openxmlformats.org/officeDocument/2006/relationships/hyperlink" Target="https://dart.fss.or.kr/dsaf001/main.do?rcpNo=20250814002857" TargetMode="External" Id="rId668"/><Relationship Type="http://schemas.openxmlformats.org/officeDocument/2006/relationships/hyperlink" Target="https://dart.fss.or.kr/dsaf001/main.do?rcpNo=20260814002813" TargetMode="External" Id="rId669"/><Relationship Type="http://schemas.openxmlformats.org/officeDocument/2006/relationships/hyperlink" Target="https://dart.fss.or.kr/dsaf001/main.do?rcpNo=20250814002857" TargetMode="External" Id="rId670"/><Relationship Type="http://schemas.openxmlformats.org/officeDocument/2006/relationships/hyperlink" Target="https://dart.fss.or.kr/dsaf001/main.do?rcpNo=20260814002813" TargetMode="External" Id="rId671"/><Relationship Type="http://schemas.openxmlformats.org/officeDocument/2006/relationships/hyperlink" Target="https://dart.fss.or.kr/dsaf001/main.do?rcpNo=20250814002857" TargetMode="External" Id="rId672"/><Relationship Type="http://schemas.openxmlformats.org/officeDocument/2006/relationships/hyperlink" Target="https://dart.fss.or.kr/dsaf001/main.do?rcpNo=20260813000903" TargetMode="External" Id="rId673"/><Relationship Type="http://schemas.openxmlformats.org/officeDocument/2006/relationships/hyperlink" Target="https://dart.fss.or.kr/dsaf001/main.do?rcpNo=20260318000963" TargetMode="External" Id="rId674"/><Relationship Type="http://schemas.openxmlformats.org/officeDocument/2006/relationships/hyperlink" Target="https://dart.fss.or.kr/dsaf001/main.do?rcpNo=20250813000608" TargetMode="External" Id="rId675"/><Relationship Type="http://schemas.openxmlformats.org/officeDocument/2006/relationships/hyperlink" Target="https://dart.fss.or.kr/dsaf001/main.do?rcpNo=20260813000903" TargetMode="External" Id="rId676"/><Relationship Type="http://schemas.openxmlformats.org/officeDocument/2006/relationships/hyperlink" Target="https://dart.fss.or.kr/dsaf001/main.do?rcpNo=20260318000963" TargetMode="External" Id="rId677"/><Relationship Type="http://schemas.openxmlformats.org/officeDocument/2006/relationships/hyperlink" Target="https://dart.fss.or.kr/dsaf001/main.do?rcpNo=20250813000608" TargetMode="External" Id="rId678"/><Relationship Type="http://schemas.openxmlformats.org/officeDocument/2006/relationships/hyperlink" Target="https://dart.fss.or.kr/dsaf001/main.do?rcpNo=20260813000903" TargetMode="External" Id="rId679"/><Relationship Type="http://schemas.openxmlformats.org/officeDocument/2006/relationships/hyperlink" Target="https://dart.fss.or.kr/dsaf001/main.do?rcpNo=20260318000963" TargetMode="External" Id="rId680"/><Relationship Type="http://schemas.openxmlformats.org/officeDocument/2006/relationships/hyperlink" Target="https://dart.fss.or.kr/dsaf001/main.do?rcpNo=20250813000608" TargetMode="External" Id="rId681"/><Relationship Type="http://schemas.openxmlformats.org/officeDocument/2006/relationships/hyperlink" Target="https://dart.fss.or.kr/dsaf001/main.do?rcpNo=20260813000903" TargetMode="External" Id="rId682"/><Relationship Type="http://schemas.openxmlformats.org/officeDocument/2006/relationships/hyperlink" Target="https://dart.fss.or.kr/dsaf001/main.do?rcpNo=20260318000963" TargetMode="External" Id="rId683"/><Relationship Type="http://schemas.openxmlformats.org/officeDocument/2006/relationships/hyperlink" Target="https://dart.fss.or.kr/dsaf001/main.do?rcpNo=20250813000608" TargetMode="External" Id="rId684"/><Relationship Type="http://schemas.openxmlformats.org/officeDocument/2006/relationships/hyperlink" Target="https://dart.fss.or.kr/dsaf001/main.do?rcpNo=20260813000903" TargetMode="External" Id="rId685"/><Relationship Type="http://schemas.openxmlformats.org/officeDocument/2006/relationships/hyperlink" Target="https://dart.fss.or.kr/dsaf001/main.do?rcpNo=20260318000963" TargetMode="External" Id="rId686"/><Relationship Type="http://schemas.openxmlformats.org/officeDocument/2006/relationships/hyperlink" Target="https://dart.fss.or.kr/dsaf001/main.do?rcpNo=20250813000608" TargetMode="External" Id="rId687"/><Relationship Type="http://schemas.openxmlformats.org/officeDocument/2006/relationships/hyperlink" Target="https://dart.fss.or.kr/dsaf001/main.do?rcpNo=20260813000903" TargetMode="External" Id="rId688"/><Relationship Type="http://schemas.openxmlformats.org/officeDocument/2006/relationships/hyperlink" Target="https://dart.fss.or.kr/dsaf001/main.do?rcpNo=20260318000963" TargetMode="External" Id="rId689"/><Relationship Type="http://schemas.openxmlformats.org/officeDocument/2006/relationships/hyperlink" Target="https://dart.fss.or.kr/dsaf001/main.do?rcpNo=20250813000608" TargetMode="External" Id="rId690"/><Relationship Type="http://schemas.openxmlformats.org/officeDocument/2006/relationships/hyperlink" Target="https://dart.fss.or.kr/dsaf001/main.do?rcpNo=20260813000903" TargetMode="External" Id="rId691"/><Relationship Type="http://schemas.openxmlformats.org/officeDocument/2006/relationships/hyperlink" Target="https://dart.fss.or.kr/dsaf001/main.do?rcpNo=20250813000608" TargetMode="External" Id="rId692"/><Relationship Type="http://schemas.openxmlformats.org/officeDocument/2006/relationships/hyperlink" Target="https://dart.fss.or.kr/dsaf001/main.do?rcpNo=20260813000903" TargetMode="External" Id="rId693"/><Relationship Type="http://schemas.openxmlformats.org/officeDocument/2006/relationships/hyperlink" Target="https://dart.fss.or.kr/dsaf001/main.do?rcpNo=20250813000608" TargetMode="External" Id="rId694"/><Relationship Type="http://schemas.openxmlformats.org/officeDocument/2006/relationships/hyperlink" Target="https://dart.fss.or.kr/dsaf001/main.do?rcpNo=20260813000903" TargetMode="External" Id="rId695"/><Relationship Type="http://schemas.openxmlformats.org/officeDocument/2006/relationships/hyperlink" Target="https://dart.fss.or.kr/dsaf001/main.do?rcpNo=20250813000608" TargetMode="External" Id="rId696"/><Relationship Type="http://schemas.openxmlformats.org/officeDocument/2006/relationships/hyperlink" Target="https://dart.fss.or.kr/dsaf001/main.do?rcpNo=20260813000903" TargetMode="External" Id="rId697"/><Relationship Type="http://schemas.openxmlformats.org/officeDocument/2006/relationships/hyperlink" Target="https://dart.fss.or.kr/dsaf001/main.do?rcpNo=20250813000608" TargetMode="External" Id="rId698"/><Relationship Type="http://schemas.openxmlformats.org/officeDocument/2006/relationships/hyperlink" Target="https://dart.fss.or.kr/dsaf001/main.do?rcpNo=20260813000903" TargetMode="External" Id="rId699"/><Relationship Type="http://schemas.openxmlformats.org/officeDocument/2006/relationships/hyperlink" Target="https://dart.fss.or.kr/dsaf001/main.do?rcpNo=20250813000608" TargetMode="External" Id="rId70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9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1단계 계산 검증 워크북 (자동 생성)</t>
        </is>
      </c>
    </row>
    <row r="2">
      <c r="A2" t="inlineStr"/>
    </row>
    <row r="3">
      <c r="A3" t="inlineStr">
        <is>
          <t>■ 검증계산 시트</t>
        </is>
      </c>
    </row>
    <row r="4">
      <c r="A4" t="inlineStr">
        <is>
          <t xml:space="preserve">  · 노란 칸 = 파이썬이 DART에서 뽑은 원천값 (YTD·잔액)</t>
        </is>
      </c>
    </row>
    <row r="5">
      <c r="A5" t="inlineStr">
        <is>
          <t xml:space="preserve">  · 초록 칸 = 이 엑셀 수식으로 다시 계산한 값. TTM은 'YTD(당기) + 연간(전년) − YTD(전년 동기)' 방식</t>
        </is>
      </c>
    </row>
    <row r="6">
      <c r="A6" t="inlineStr">
        <is>
          <t xml:space="preserve">    (파이썬은 '분기값 4개 합산' 방식 → 서로 다른 경로로 같은 답이 나와야 함)</t>
        </is>
      </c>
    </row>
    <row r="7">
      <c r="A7" t="inlineStr">
        <is>
          <t xml:space="preserve">  · '일치/불일치' 칸이 전부 '일치'여야 계산 로직이 맞는 것</t>
        </is>
      </c>
    </row>
    <row r="8">
      <c r="A8" t="inlineStr"/>
    </row>
    <row r="9">
      <c r="A9" t="inlineStr">
        <is>
          <t>■ 확인 표본 시트 (3차 협의 Q4) — 먼저 이것부터</t>
        </is>
      </c>
    </row>
    <row r="10">
      <c r="A10" t="inlineStr">
        <is>
          <t xml:space="preserve">  · 회사별 핵심 4항목(지배주주순이익·지배주주자본·영업이익·이자부부채) + 대체 규칙이 적용된 항목 전부</t>
        </is>
      </c>
    </row>
    <row r="11">
      <c r="A11" t="inlineStr">
        <is>
          <t xml:space="preserve">  · '담당' 칸대로 사용자·GPT가 나눠 DART 원문과 대조 → 판정 칸에 O / X / 미확인</t>
        </is>
      </c>
    </row>
    <row r="12">
      <c r="A12" t="inlineStr"/>
    </row>
    <row r="13">
      <c r="A13" t="inlineStr">
        <is>
          <t>■ 원천값 확인 시트 (전체 700행, 참고용)</t>
        </is>
      </c>
    </row>
    <row r="14">
      <c r="A14" t="inlineStr">
        <is>
          <t xml:space="preserve">  · 각 행의 DART 링크를 열어 해당 계정 금액이 맞는지 확인 후 '확인' 칸에 O/X 입력</t>
        </is>
      </c>
    </row>
    <row r="15">
      <c r="A15" t="inlineStr">
        <is>
          <t xml:space="preserve">  · X가 나오면 계정 매핑 규칙(config/account_rules.yaml) 수정 대상</t>
        </is>
      </c>
    </row>
    <row r="16">
      <c r="A16" t="inlineStr"/>
    </row>
    <row r="17">
      <c r="A17" t="inlineStr">
        <is>
          <t>■ 커버리지 시트: 지표별 계산 가능 비율과 무효 사유</t>
        </is>
      </c>
    </row>
    <row r="18">
      <c r="A18" t="inlineStr"/>
    </row>
    <row r="19">
      <c r="A19" t="inlineStr">
        <is>
          <t>※ 금액 단위: 원. 시가총액은 보통주 + 우선주 합산.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29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8" customWidth="1" min="2" max="2"/>
    <col width="16" customWidth="1" min="3" max="3"/>
    <col width="9" customWidth="1" min="4" max="4"/>
    <col width="9" customWidth="1" min="5" max="5"/>
    <col width="14" customWidth="1" min="6" max="6"/>
    <col width="10" customWidth="1" min="7" max="7"/>
    <col width="18" customWidth="1" min="8" max="8"/>
    <col width="13" customWidth="1" min="9" max="9"/>
    <col width="38" customWidth="1" min="10" max="10"/>
    <col width="26" customWidth="1" min="11" max="11"/>
    <col width="16" customWidth="1" min="12" max="12"/>
    <col width="10" customWidth="1" min="13" max="13"/>
    <col width="14" customWidth="1" min="14" max="14"/>
    <col width="30" customWidth="1" min="15" max="15"/>
  </cols>
  <sheetData>
    <row r="1">
      <c r="A1" s="2" t="inlineStr">
        <is>
          <t>#</t>
        </is>
      </c>
      <c r="B1" s="2" t="inlineStr">
        <is>
          <t>담당</t>
        </is>
      </c>
      <c r="C1" s="2" t="inlineStr">
        <is>
          <t>회사</t>
        </is>
      </c>
      <c r="D1" s="2" t="inlineStr">
        <is>
          <t>종목코드</t>
        </is>
      </c>
      <c r="E1" s="2" t="inlineStr">
        <is>
          <t>기준분기</t>
        </is>
      </c>
      <c r="F1" s="2" t="inlineStr">
        <is>
          <t>항목</t>
        </is>
      </c>
      <c r="G1" s="2" t="inlineStr">
        <is>
          <t>기간 역할</t>
        </is>
      </c>
      <c r="H1" s="2" t="inlineStr">
        <is>
          <t>금액(원)</t>
        </is>
      </c>
      <c r="I1" s="2" t="inlineStr">
        <is>
          <t>매핑 방식</t>
        </is>
      </c>
      <c r="J1" s="2" t="inlineStr">
        <is>
          <t>원 계정 ID</t>
        </is>
      </c>
      <c r="K1" s="2" t="inlineStr">
        <is>
          <t>원 계정명</t>
        </is>
      </c>
      <c r="L1" s="2" t="inlineStr">
        <is>
          <t>접수번호</t>
        </is>
      </c>
      <c r="M1" s="2" t="inlineStr">
        <is>
          <t>DART 원문</t>
        </is>
      </c>
      <c r="N1" s="2" t="inlineStr">
        <is>
          <t>판정(O/X/미확인)</t>
        </is>
      </c>
      <c r="O1" s="2" t="inlineStr">
        <is>
          <t>메모</t>
        </is>
      </c>
    </row>
    <row r="2">
      <c r="A2" t="n">
        <v>1</v>
      </c>
      <c r="B2" t="inlineStr">
        <is>
          <t>사용자</t>
        </is>
      </c>
      <c r="C2" t="inlineStr">
        <is>
          <t>삼성전자</t>
        </is>
      </c>
      <c r="D2" t="inlineStr">
        <is>
          <t>005930</t>
        </is>
      </c>
      <c r="E2" t="inlineStr">
        <is>
          <t>2026Q2</t>
        </is>
      </c>
      <c r="F2" t="inlineStr">
        <is>
          <t>지배주주순이익</t>
        </is>
      </c>
      <c r="G2" t="inlineStr">
        <is>
          <t>당기 YTD</t>
        </is>
      </c>
      <c r="H2" s="3" t="n">
        <v>118370658000000</v>
      </c>
      <c r="I2" t="inlineStr">
        <is>
          <t>id</t>
        </is>
      </c>
      <c r="J2" t="inlineStr">
        <is>
          <t>ifrs-full_ProfitLossAttributableToOwnersOfParent</t>
        </is>
      </c>
      <c r="K2" t="inlineStr">
        <is>
          <t>지배회사지분 반기순이익</t>
        </is>
      </c>
      <c r="L2" t="inlineStr">
        <is>
          <t>20260814003699</t>
        </is>
      </c>
      <c r="M2" s="4" t="inlineStr">
        <is>
          <t>열기</t>
        </is>
      </c>
    </row>
    <row r="3">
      <c r="A3" t="n">
        <v>2</v>
      </c>
      <c r="B3" t="inlineStr">
        <is>
          <t>사용자</t>
        </is>
      </c>
      <c r="C3" t="inlineStr">
        <is>
          <t>삼성전자</t>
        </is>
      </c>
      <c r="D3" t="inlineStr">
        <is>
          <t>005930</t>
        </is>
      </c>
      <c r="E3" t="inlineStr">
        <is>
          <t>2026Q2</t>
        </is>
      </c>
      <c r="F3" t="inlineStr">
        <is>
          <t>지배주주자본</t>
        </is>
      </c>
      <c r="G3" t="inlineStr">
        <is>
          <t>당기말</t>
        </is>
      </c>
      <c r="H3" s="3" t="n">
        <v>565064740000000</v>
      </c>
      <c r="I3" t="inlineStr">
        <is>
          <t>id</t>
        </is>
      </c>
      <c r="J3" t="inlineStr">
        <is>
          <t>ifrs-full_EquityAttributableToOwnersOfParent</t>
        </is>
      </c>
      <c r="K3" t="inlineStr">
        <is>
          <t>지배기업 소유주지분</t>
        </is>
      </c>
      <c r="L3" t="inlineStr">
        <is>
          <t>20260814003699</t>
        </is>
      </c>
      <c r="M3" s="4" t="inlineStr">
        <is>
          <t>열기</t>
        </is>
      </c>
    </row>
    <row r="4">
      <c r="A4" t="n">
        <v>3</v>
      </c>
      <c r="B4" t="inlineStr">
        <is>
          <t>사용자</t>
        </is>
      </c>
      <c r="C4" t="inlineStr">
        <is>
          <t>삼성전자</t>
        </is>
      </c>
      <c r="D4" t="inlineStr">
        <is>
          <t>005930</t>
        </is>
      </c>
      <c r="E4" t="inlineStr">
        <is>
          <t>2026Q2</t>
        </is>
      </c>
      <c r="F4" t="inlineStr">
        <is>
          <t>영업이익</t>
        </is>
      </c>
      <c r="G4" t="inlineStr">
        <is>
          <t>당기 YTD</t>
        </is>
      </c>
      <c r="H4" s="3" t="n">
        <v>146725209000000</v>
      </c>
      <c r="I4" t="inlineStr">
        <is>
          <t>id</t>
        </is>
      </c>
      <c r="J4" t="inlineStr">
        <is>
          <t>dart_OperatingIncomeLoss</t>
        </is>
      </c>
      <c r="K4" t="inlineStr">
        <is>
          <t>영업이익</t>
        </is>
      </c>
      <c r="L4" t="inlineStr">
        <is>
          <t>20260814003699</t>
        </is>
      </c>
      <c r="M4" s="4" t="inlineStr">
        <is>
          <t>열기</t>
        </is>
      </c>
    </row>
    <row r="5">
      <c r="A5" t="n">
        <v>4</v>
      </c>
      <c r="B5" t="inlineStr">
        <is>
          <t>사용자</t>
        </is>
      </c>
      <c r="C5" t="inlineStr">
        <is>
          <t>삼성전자</t>
        </is>
      </c>
      <c r="D5" t="inlineStr">
        <is>
          <t>005930</t>
        </is>
      </c>
      <c r="E5" t="inlineStr">
        <is>
          <t>2026Q2</t>
        </is>
      </c>
      <c r="F5" t="inlineStr">
        <is>
          <t>이자부부채</t>
        </is>
      </c>
      <c r="G5" t="inlineStr">
        <is>
          <t>당기말</t>
        </is>
      </c>
      <c r="H5" s="3" t="n">
        <v>22408721000000</v>
      </c>
      <c r="I5" t="inlineStr">
        <is>
          <t>id</t>
        </is>
      </c>
      <c r="J5" t="inlineStr">
        <is>
          <t>dart_CurrentLoansReceived + ifrs-full_CurrentPortionOfLongtermBorrowings + ifrs-full_NoncurrentPortionOfNoncurrentBondsIssued + ifrs-full_NoncurrentPortionOfNoncurrentLoansReceived</t>
        </is>
      </c>
      <c r="K5" t="inlineStr">
        <is>
          <t>단기차입금 + 유동성장기부채 + 사채 + 장기차입금</t>
        </is>
      </c>
      <c r="L5" t="inlineStr">
        <is>
          <t>20260814003699</t>
        </is>
      </c>
      <c r="M5" s="4" t="inlineStr">
        <is>
          <t>열기</t>
        </is>
      </c>
    </row>
    <row r="6">
      <c r="A6" t="n">
        <v>5</v>
      </c>
      <c r="B6" t="inlineStr">
        <is>
          <t>GPT</t>
        </is>
      </c>
      <c r="C6" t="inlineStr">
        <is>
          <t>SK하이닉스</t>
        </is>
      </c>
      <c r="D6" t="inlineStr">
        <is>
          <t>000660</t>
        </is>
      </c>
      <c r="E6" t="inlineStr">
        <is>
          <t>2026Q2</t>
        </is>
      </c>
      <c r="F6" t="inlineStr">
        <is>
          <t>지배주주순이익</t>
        </is>
      </c>
      <c r="G6" t="inlineStr">
        <is>
          <t>당기 YTD</t>
        </is>
      </c>
      <c r="H6" s="3" t="n">
        <v>134150412000000</v>
      </c>
      <c r="I6" t="inlineStr">
        <is>
          <t>id</t>
        </is>
      </c>
      <c r="J6" t="inlineStr">
        <is>
          <t>ifrs-full_ProfitLossAttributableToOwnersOfParent</t>
        </is>
      </c>
      <c r="K6" t="inlineStr">
        <is>
          <t>지배기업의 소유주지분</t>
        </is>
      </c>
      <c r="L6" t="inlineStr">
        <is>
          <t>20260814003509</t>
        </is>
      </c>
      <c r="M6" s="4" t="inlineStr">
        <is>
          <t>열기</t>
        </is>
      </c>
    </row>
    <row r="7">
      <c r="A7" t="n">
        <v>6</v>
      </c>
      <c r="B7" t="inlineStr">
        <is>
          <t>GPT</t>
        </is>
      </c>
      <c r="C7" t="inlineStr">
        <is>
          <t>SK하이닉스</t>
        </is>
      </c>
      <c r="D7" t="inlineStr">
        <is>
          <t>000660</t>
        </is>
      </c>
      <c r="E7" t="inlineStr">
        <is>
          <t>2026Q2</t>
        </is>
      </c>
      <c r="F7" t="inlineStr">
        <is>
          <t>지배주주자본</t>
        </is>
      </c>
      <c r="G7" t="inlineStr">
        <is>
          <t>당기말</t>
        </is>
      </c>
      <c r="H7" s="3" t="n">
        <v>262380610000000</v>
      </c>
      <c r="I7" t="inlineStr">
        <is>
          <t>id</t>
        </is>
      </c>
      <c r="J7" t="inlineStr">
        <is>
          <t>ifrs-full_EquityAttributableToOwnersOfParent</t>
        </is>
      </c>
      <c r="K7" t="inlineStr">
        <is>
          <t>지배기업의 소유지분</t>
        </is>
      </c>
      <c r="L7" t="inlineStr">
        <is>
          <t>20260814003509</t>
        </is>
      </c>
      <c r="M7" s="4" t="inlineStr">
        <is>
          <t>열기</t>
        </is>
      </c>
    </row>
    <row r="8">
      <c r="A8" t="n">
        <v>7</v>
      </c>
      <c r="B8" t="inlineStr">
        <is>
          <t>GPT</t>
        </is>
      </c>
      <c r="C8" t="inlineStr">
        <is>
          <t>SK하이닉스</t>
        </is>
      </c>
      <c r="D8" t="inlineStr">
        <is>
          <t>000660</t>
        </is>
      </c>
      <c r="E8" t="inlineStr">
        <is>
          <t>2026Q2</t>
        </is>
      </c>
      <c r="F8" t="inlineStr">
        <is>
          <t>영업이익</t>
        </is>
      </c>
      <c r="G8" t="inlineStr">
        <is>
          <t>당기 YTD</t>
        </is>
      </c>
      <c r="H8" s="3" t="n">
        <v>98152891000000</v>
      </c>
      <c r="I8" t="inlineStr">
        <is>
          <t>id</t>
        </is>
      </c>
      <c r="J8" t="inlineStr">
        <is>
          <t>dart_OperatingIncomeLoss</t>
        </is>
      </c>
      <c r="K8" t="inlineStr">
        <is>
          <t>영업이익</t>
        </is>
      </c>
      <c r="L8" t="inlineStr">
        <is>
          <t>20260814003509</t>
        </is>
      </c>
      <c r="M8" s="4" t="inlineStr">
        <is>
          <t>열기</t>
        </is>
      </c>
    </row>
    <row r="9">
      <c r="A9" t="n">
        <v>8</v>
      </c>
      <c r="B9" t="inlineStr">
        <is>
          <t>GPT</t>
        </is>
      </c>
      <c r="C9" t="inlineStr">
        <is>
          <t>SK하이닉스</t>
        </is>
      </c>
      <c r="D9" t="inlineStr">
        <is>
          <t>000660</t>
        </is>
      </c>
      <c r="E9" t="inlineStr">
        <is>
          <t>2026Q2</t>
        </is>
      </c>
      <c r="F9" t="inlineStr">
        <is>
          <t>이자부부채</t>
        </is>
      </c>
      <c r="G9" t="inlineStr">
        <is>
          <t>당기말</t>
        </is>
      </c>
      <c r="H9" s="3" t="n">
        <v>21113139000000</v>
      </c>
      <c r="I9" t="inlineStr">
        <is>
          <t>id</t>
        </is>
      </c>
      <c r="J9" t="inlineStr">
        <is>
          <t>ifrs-full_CurrentBorrowingsAndCurrentPortionOfNoncurrentBorrowings + ifrs-full_CurrentLeaseLiabilities + ifrs-full_LongtermBorrowings + ifrs-full_NoncurrentLeaseLiabilities</t>
        </is>
      </c>
      <c r="K9" t="inlineStr">
        <is>
          <t>차입금 + 리스부채 + 차입금 + 리스부채</t>
        </is>
      </c>
      <c r="L9" t="inlineStr">
        <is>
          <t>20260814003509</t>
        </is>
      </c>
      <c r="M9" s="4" t="inlineStr">
        <is>
          <t>열기</t>
        </is>
      </c>
    </row>
    <row r="10">
      <c r="A10" t="n">
        <v>9</v>
      </c>
      <c r="B10" t="inlineStr">
        <is>
          <t>사용자</t>
        </is>
      </c>
      <c r="C10" t="inlineStr">
        <is>
          <t>현대자동차</t>
        </is>
      </c>
      <c r="D10" t="inlineStr">
        <is>
          <t>005380</t>
        </is>
      </c>
      <c r="E10" t="inlineStr">
        <is>
          <t>2026Q2</t>
        </is>
      </c>
      <c r="F10" t="inlineStr">
        <is>
          <t>지배주주순이익</t>
        </is>
      </c>
      <c r="G10" t="inlineStr">
        <is>
          <t>당기 YTD</t>
        </is>
      </c>
      <c r="H10" s="3" t="n">
        <v>4856197000000</v>
      </c>
      <c r="I10" t="inlineStr">
        <is>
          <t>id</t>
        </is>
      </c>
      <c r="J10" t="inlineStr">
        <is>
          <t>ifrs-full_ProfitLossAttributableToOwnersOfParent</t>
        </is>
      </c>
      <c r="K10" t="inlineStr">
        <is>
          <t>지배기업소유주지분</t>
        </is>
      </c>
      <c r="L10" t="inlineStr">
        <is>
          <t>20260814003521</t>
        </is>
      </c>
      <c r="M10" s="4" t="inlineStr">
        <is>
          <t>열기</t>
        </is>
      </c>
    </row>
    <row r="11">
      <c r="A11" t="n">
        <v>10</v>
      </c>
      <c r="B11" t="inlineStr">
        <is>
          <t>사용자</t>
        </is>
      </c>
      <c r="C11" t="inlineStr">
        <is>
          <t>현대자동차</t>
        </is>
      </c>
      <c r="D11" t="inlineStr">
        <is>
          <t>005380</t>
        </is>
      </c>
      <c r="E11" t="inlineStr">
        <is>
          <t>2026Q2</t>
        </is>
      </c>
      <c r="F11" t="inlineStr">
        <is>
          <t>지배주주자본</t>
        </is>
      </c>
      <c r="G11" t="inlineStr">
        <is>
          <t>당기말</t>
        </is>
      </c>
      <c r="H11" s="3" t="n">
        <v>122327997000000</v>
      </c>
      <c r="I11" t="inlineStr">
        <is>
          <t>id</t>
        </is>
      </c>
      <c r="J11" t="inlineStr">
        <is>
          <t>ifrs-full_EquityAttributableToOwnersOfParent</t>
        </is>
      </c>
      <c r="K11" t="inlineStr">
        <is>
          <t>지배기업소유주지분</t>
        </is>
      </c>
      <c r="L11" t="inlineStr">
        <is>
          <t>20260814003521</t>
        </is>
      </c>
      <c r="M11" s="4" t="inlineStr">
        <is>
          <t>열기</t>
        </is>
      </c>
    </row>
    <row r="12">
      <c r="A12" t="n">
        <v>11</v>
      </c>
      <c r="B12" t="inlineStr">
        <is>
          <t>사용자</t>
        </is>
      </c>
      <c r="C12" t="inlineStr">
        <is>
          <t>현대자동차</t>
        </is>
      </c>
      <c r="D12" t="inlineStr">
        <is>
          <t>005380</t>
        </is>
      </c>
      <c r="E12" t="inlineStr">
        <is>
          <t>2026Q2</t>
        </is>
      </c>
      <c r="F12" t="inlineStr">
        <is>
          <t>영업이익</t>
        </is>
      </c>
      <c r="G12" t="inlineStr">
        <is>
          <t>당기 YTD</t>
        </is>
      </c>
      <c r="H12" s="3" t="n">
        <v>5365574000000</v>
      </c>
      <c r="I12" t="inlineStr">
        <is>
          <t>id</t>
        </is>
      </c>
      <c r="J12" t="inlineStr">
        <is>
          <t>dart_OperatingIncomeLoss</t>
        </is>
      </c>
      <c r="K12" t="inlineStr">
        <is>
          <t>영업이익</t>
        </is>
      </c>
      <c r="L12" t="inlineStr">
        <is>
          <t>20260814003521</t>
        </is>
      </c>
      <c r="M12" s="4" t="inlineStr">
        <is>
          <t>열기</t>
        </is>
      </c>
    </row>
    <row r="13">
      <c r="A13" t="n">
        <v>12</v>
      </c>
      <c r="B13" t="inlineStr">
        <is>
          <t>사용자</t>
        </is>
      </c>
      <c r="C13" t="inlineStr">
        <is>
          <t>현대자동차</t>
        </is>
      </c>
      <c r="D13" t="inlineStr">
        <is>
          <t>005380</t>
        </is>
      </c>
      <c r="E13" t="inlineStr">
        <is>
          <t>2026Q2</t>
        </is>
      </c>
      <c r="F13" t="inlineStr">
        <is>
          <t>이자부부채</t>
        </is>
      </c>
      <c r="G13" t="inlineStr">
        <is>
          <t>당기말</t>
        </is>
      </c>
      <c r="H13" s="3" t="n">
        <v>190418762000000</v>
      </c>
      <c r="I13" t="inlineStr">
        <is>
          <t>id</t>
        </is>
      </c>
      <c r="J13" t="inlineStr">
        <is>
          <t>ifrs-full_CurrentLeaseLiabilities + ifrs-full_CurrentPortionOfLongtermBorrowings + ifrs-full_ShorttermBorrowings + ifrs-full_NoncurrentLeaseLiabilities + ifrs-full_NoncurrentPortionOfNoncurrentBondsIssued + ifrs-full_NoncurrentPortionOfNoncurrentLoansReceived</t>
        </is>
      </c>
      <c r="K13" t="inlineStr">
        <is>
          <t>리스부채 + 유동성장기부채 + 단기차입금 + 리스부채 + 사채 + 장기차입금</t>
        </is>
      </c>
      <c r="L13" t="inlineStr">
        <is>
          <t>20260814003521</t>
        </is>
      </c>
      <c r="M13" s="4" t="inlineStr">
        <is>
          <t>열기</t>
        </is>
      </c>
    </row>
    <row r="14">
      <c r="A14" t="n">
        <v>13</v>
      </c>
      <c r="B14" t="inlineStr">
        <is>
          <t>GPT</t>
        </is>
      </c>
      <c r="C14" t="inlineStr">
        <is>
          <t>NAVER</t>
        </is>
      </c>
      <c r="D14" t="inlineStr">
        <is>
          <t>035420</t>
        </is>
      </c>
      <c r="E14" t="inlineStr">
        <is>
          <t>2026Q2</t>
        </is>
      </c>
      <c r="F14" t="inlineStr">
        <is>
          <t>지배주주순이익</t>
        </is>
      </c>
      <c r="G14" t="inlineStr">
        <is>
          <t>당기 YTD</t>
        </is>
      </c>
      <c r="H14" s="3" t="n">
        <v>983946430695</v>
      </c>
      <c r="I14" t="inlineStr">
        <is>
          <t>id</t>
        </is>
      </c>
      <c r="J14" t="inlineStr">
        <is>
          <t>ifrs-full_ProfitLossAttributableToOwnersOfParent</t>
        </is>
      </c>
      <c r="K14" t="inlineStr">
        <is>
          <t>지배기업 소유주지분</t>
        </is>
      </c>
      <c r="L14" t="inlineStr">
        <is>
          <t>20260814002266</t>
        </is>
      </c>
      <c r="M14" s="4" t="inlineStr">
        <is>
          <t>열기</t>
        </is>
      </c>
    </row>
    <row r="15">
      <c r="A15" t="n">
        <v>14</v>
      </c>
      <c r="B15" t="inlineStr">
        <is>
          <t>GPT</t>
        </is>
      </c>
      <c r="C15" t="inlineStr">
        <is>
          <t>NAVER</t>
        </is>
      </c>
      <c r="D15" t="inlineStr">
        <is>
          <t>035420</t>
        </is>
      </c>
      <c r="E15" t="inlineStr">
        <is>
          <t>2026Q2</t>
        </is>
      </c>
      <c r="F15" t="inlineStr">
        <is>
          <t>지배주주자본</t>
        </is>
      </c>
      <c r="G15" t="inlineStr">
        <is>
          <t>당기말</t>
        </is>
      </c>
      <c r="H15" s="3" t="n">
        <v>29539564060069</v>
      </c>
      <c r="I15" t="inlineStr">
        <is>
          <t>id</t>
        </is>
      </c>
      <c r="J15" t="inlineStr">
        <is>
          <t>ifrs-full_EquityAttributableToOwnersOfParent</t>
        </is>
      </c>
      <c r="K15" t="inlineStr">
        <is>
          <t>지배기업 소유주지분</t>
        </is>
      </c>
      <c r="L15" t="inlineStr">
        <is>
          <t>20260814002266</t>
        </is>
      </c>
      <c r="M15" s="4" t="inlineStr">
        <is>
          <t>열기</t>
        </is>
      </c>
    </row>
    <row r="16">
      <c r="A16" t="n">
        <v>15</v>
      </c>
      <c r="B16" t="inlineStr">
        <is>
          <t>GPT</t>
        </is>
      </c>
      <c r="C16" t="inlineStr">
        <is>
          <t>NAVER</t>
        </is>
      </c>
      <c r="D16" t="inlineStr">
        <is>
          <t>035420</t>
        </is>
      </c>
      <c r="E16" t="inlineStr">
        <is>
          <t>2026Q2</t>
        </is>
      </c>
      <c r="F16" t="inlineStr">
        <is>
          <t>영업이익</t>
        </is>
      </c>
      <c r="G16" t="inlineStr">
        <is>
          <t>당기 YTD</t>
        </is>
      </c>
      <c r="H16" s="3" t="n">
        <v>1062066552592</v>
      </c>
      <c r="I16" t="inlineStr">
        <is>
          <t>id</t>
        </is>
      </c>
      <c r="J16" t="inlineStr">
        <is>
          <t>dart_OperatingIncomeLoss</t>
        </is>
      </c>
      <c r="K16" t="inlineStr">
        <is>
          <t>영업이익</t>
        </is>
      </c>
      <c r="L16" t="inlineStr">
        <is>
          <t>20260814002266</t>
        </is>
      </c>
      <c r="M16" s="4" t="inlineStr">
        <is>
          <t>열기</t>
        </is>
      </c>
    </row>
    <row r="17">
      <c r="A17" t="n">
        <v>16</v>
      </c>
      <c r="B17" t="inlineStr">
        <is>
          <t>GPT</t>
        </is>
      </c>
      <c r="C17" t="inlineStr">
        <is>
          <t>NAVER</t>
        </is>
      </c>
      <c r="D17" t="inlineStr">
        <is>
          <t>035420</t>
        </is>
      </c>
      <c r="E17" t="inlineStr">
        <is>
          <t>2026Q2</t>
        </is>
      </c>
      <c r="F17" t="inlineStr">
        <is>
          <t>이자부부채</t>
        </is>
      </c>
      <c r="G17" t="inlineStr">
        <is>
          <t>당기말</t>
        </is>
      </c>
      <c r="H17" s="3" t="n">
        <v>4894705557970</v>
      </c>
      <c r="I17" t="inlineStr">
        <is>
          <t>id</t>
        </is>
      </c>
      <c r="J17" t="inlineStr">
        <is>
          <t>ifrs-full_CurrentLeaseLiabilities + ifrs-full_ShorttermBorrowings + ifrs-full_NoncurrentLeaseLiabilities + ifrs-full_NoncurrentPortionOfNoncurrentBondsIssued + ifrs-full_NoncurrentPortionOfNoncurrentLoansReceived</t>
        </is>
      </c>
      <c r="K17" t="inlineStr">
        <is>
          <t>리스부채 + 단기차입금 + 리스부채 + 사채 + 장기차입금</t>
        </is>
      </c>
      <c r="L17" t="inlineStr">
        <is>
          <t>20260814002266</t>
        </is>
      </c>
      <c r="M17" s="4" t="inlineStr">
        <is>
          <t>열기</t>
        </is>
      </c>
    </row>
    <row r="18">
      <c r="A18" s="5" t="n">
        <v>17</v>
      </c>
      <c r="B18" s="5" t="inlineStr">
        <is>
          <t>GPT</t>
        </is>
      </c>
      <c r="C18" s="5" t="inlineStr">
        <is>
          <t>NAVER</t>
        </is>
      </c>
      <c r="D18" s="5" t="inlineStr">
        <is>
          <t>035420</t>
        </is>
      </c>
      <c r="E18" s="5" t="inlineStr">
        <is>
          <t>2026Q2</t>
        </is>
      </c>
      <c r="F18" s="5" t="inlineStr">
        <is>
          <t>매출총이익</t>
        </is>
      </c>
      <c r="G18" s="5" t="inlineStr">
        <is>
          <t>당기 YTD</t>
        </is>
      </c>
      <c r="H18" s="6" t="n"/>
      <c r="I18" s="5" t="inlineStr">
        <is>
          <t>none</t>
        </is>
      </c>
      <c r="J18" s="5" t="inlineStr"/>
      <c r="K18" s="5" t="inlineStr"/>
      <c r="L18" s="5" t="inlineStr">
        <is>
          <t>20260814002266</t>
        </is>
      </c>
      <c r="M18" s="7" t="inlineStr">
        <is>
          <t>열기</t>
        </is>
      </c>
      <c r="N18" s="5" t="n"/>
      <c r="O18" s="5" t="n"/>
    </row>
    <row r="19">
      <c r="A19" t="n">
        <v>18</v>
      </c>
      <c r="B19" t="inlineStr">
        <is>
          <t>사용자</t>
        </is>
      </c>
      <c r="C19" t="inlineStr">
        <is>
          <t>LG화학</t>
        </is>
      </c>
      <c r="D19" t="inlineStr">
        <is>
          <t>051910</t>
        </is>
      </c>
      <c r="E19" t="inlineStr">
        <is>
          <t>2026Q2</t>
        </is>
      </c>
      <c r="F19" t="inlineStr">
        <is>
          <t>지배주주순이익</t>
        </is>
      </c>
      <c r="G19" t="inlineStr">
        <is>
          <t>당기 YTD</t>
        </is>
      </c>
      <c r="H19" s="3" t="n">
        <v>-234766000000</v>
      </c>
      <c r="I19" t="inlineStr">
        <is>
          <t>id</t>
        </is>
      </c>
      <c r="J19" t="inlineStr">
        <is>
          <t>ifrs-full_ProfitLossAttributableToOwnersOfParent</t>
        </is>
      </c>
      <c r="K19" t="inlineStr">
        <is>
          <t>지배기업의 소유주에게 귀속되는 당기순이익(손실)</t>
        </is>
      </c>
      <c r="L19" t="inlineStr">
        <is>
          <t>20260814002655</t>
        </is>
      </c>
      <c r="M19" s="4" t="inlineStr">
        <is>
          <t>열기</t>
        </is>
      </c>
    </row>
    <row r="20">
      <c r="A20" t="n">
        <v>19</v>
      </c>
      <c r="B20" t="inlineStr">
        <is>
          <t>사용자</t>
        </is>
      </c>
      <c r="C20" t="inlineStr">
        <is>
          <t>LG화학</t>
        </is>
      </c>
      <c r="D20" t="inlineStr">
        <is>
          <t>051910</t>
        </is>
      </c>
      <c r="E20" t="inlineStr">
        <is>
          <t>2026Q2</t>
        </is>
      </c>
      <c r="F20" t="inlineStr">
        <is>
          <t>지배주주자본</t>
        </is>
      </c>
      <c r="G20" t="inlineStr">
        <is>
          <t>당기말</t>
        </is>
      </c>
      <c r="H20" s="3" t="n">
        <v>35430227000000</v>
      </c>
      <c r="I20" t="inlineStr">
        <is>
          <t>id</t>
        </is>
      </c>
      <c r="J20" t="inlineStr">
        <is>
          <t>ifrs-full_EquityAttributableToOwnersOfParent</t>
        </is>
      </c>
      <c r="K20" t="inlineStr">
        <is>
          <t>지배기업의 소유주에게 귀속되는 자본</t>
        </is>
      </c>
      <c r="L20" t="inlineStr">
        <is>
          <t>20260814002655</t>
        </is>
      </c>
      <c r="M20" s="4" t="inlineStr">
        <is>
          <t>열기</t>
        </is>
      </c>
    </row>
    <row r="21">
      <c r="A21" t="n">
        <v>20</v>
      </c>
      <c r="B21" t="inlineStr">
        <is>
          <t>사용자</t>
        </is>
      </c>
      <c r="C21" t="inlineStr">
        <is>
          <t>LG화학</t>
        </is>
      </c>
      <c r="D21" t="inlineStr">
        <is>
          <t>051910</t>
        </is>
      </c>
      <c r="E21" t="inlineStr">
        <is>
          <t>2026Q2</t>
        </is>
      </c>
      <c r="F21" t="inlineStr">
        <is>
          <t>영업이익</t>
        </is>
      </c>
      <c r="G21" t="inlineStr">
        <is>
          <t>당기 YTD</t>
        </is>
      </c>
      <c r="H21" s="3" t="n">
        <v>549897000000</v>
      </c>
      <c r="I21" t="inlineStr">
        <is>
          <t>id</t>
        </is>
      </c>
      <c r="J21" t="inlineStr">
        <is>
          <t>dart_OperatingIncomeLoss</t>
        </is>
      </c>
      <c r="K21" t="inlineStr">
        <is>
          <t>영업이익(손실)</t>
        </is>
      </c>
      <c r="L21" t="inlineStr">
        <is>
          <t>20260814002655</t>
        </is>
      </c>
      <c r="M21" s="4" t="inlineStr">
        <is>
          <t>열기</t>
        </is>
      </c>
    </row>
    <row r="22">
      <c r="A22" t="n">
        <v>21</v>
      </c>
      <c r="B22" t="inlineStr">
        <is>
          <t>사용자</t>
        </is>
      </c>
      <c r="C22" t="inlineStr">
        <is>
          <t>LG화학</t>
        </is>
      </c>
      <c r="D22" t="inlineStr">
        <is>
          <t>051910</t>
        </is>
      </c>
      <c r="E22" t="inlineStr">
        <is>
          <t>2026Q2</t>
        </is>
      </c>
      <c r="F22" t="inlineStr">
        <is>
          <t>이자부부채</t>
        </is>
      </c>
      <c r="G22" t="inlineStr">
        <is>
          <t>당기말</t>
        </is>
      </c>
      <c r="H22" s="3" t="n">
        <v>40289225000000</v>
      </c>
      <c r="I22" t="inlineStr">
        <is>
          <t>id</t>
        </is>
      </c>
      <c r="J22" t="inlineStr">
        <is>
          <t>ifrs-full_CurrentBorrowingsAndCurrentPortionOfNoncurrentBorrowings + ifrs-full_LongtermBorrowings</t>
        </is>
      </c>
      <c r="K22" t="inlineStr">
        <is>
          <t>차입금 + 차입금</t>
        </is>
      </c>
      <c r="L22" t="inlineStr">
        <is>
          <t>20260814002655</t>
        </is>
      </c>
      <c r="M22" s="4" t="inlineStr">
        <is>
          <t>열기</t>
        </is>
      </c>
    </row>
    <row r="23">
      <c r="A23" s="5" t="n">
        <v>22</v>
      </c>
      <c r="B23" s="5" t="inlineStr">
        <is>
          <t>사용자</t>
        </is>
      </c>
      <c r="C23" s="5" t="inlineStr">
        <is>
          <t>LG화학</t>
        </is>
      </c>
      <c r="D23" s="5" t="inlineStr">
        <is>
          <t>051910</t>
        </is>
      </c>
      <c r="E23" s="5" t="inlineStr">
        <is>
          <t>2026Q2</t>
        </is>
      </c>
      <c r="F23" s="5" t="inlineStr">
        <is>
          <t>단기금융상품</t>
        </is>
      </c>
      <c r="G23" s="5" t="inlineStr">
        <is>
          <t>당기말</t>
        </is>
      </c>
      <c r="H23" s="6" t="n">
        <v>0</v>
      </c>
      <c r="I23" s="5" t="inlineStr">
        <is>
          <t>zero_default</t>
        </is>
      </c>
      <c r="J23" s="5" t="inlineStr"/>
      <c r="K23" s="5" t="inlineStr"/>
      <c r="L23" s="5" t="inlineStr">
        <is>
          <t>20260814002655</t>
        </is>
      </c>
      <c r="M23" s="7" t="inlineStr">
        <is>
          <t>열기</t>
        </is>
      </c>
      <c r="N23" s="5" t="n"/>
      <c r="O23" s="5" t="n"/>
    </row>
    <row r="24">
      <c r="A24" t="n">
        <v>23</v>
      </c>
      <c r="B24" t="inlineStr">
        <is>
          <t>GPT</t>
        </is>
      </c>
      <c r="C24" t="inlineStr">
        <is>
          <t>카카오</t>
        </is>
      </c>
      <c r="D24" t="inlineStr">
        <is>
          <t>035720</t>
        </is>
      </c>
      <c r="E24" t="inlineStr">
        <is>
          <t>2026Q2</t>
        </is>
      </c>
      <c r="F24" t="inlineStr">
        <is>
          <t>지배주주순이익</t>
        </is>
      </c>
      <c r="G24" t="inlineStr">
        <is>
          <t>당기 YTD</t>
        </is>
      </c>
      <c r="H24" s="3" t="n">
        <v>188028656200</v>
      </c>
      <c r="I24" t="inlineStr">
        <is>
          <t>id</t>
        </is>
      </c>
      <c r="J24" t="inlineStr">
        <is>
          <t>ifrs-full_ProfitLossAttributableToOwnersOfParent</t>
        </is>
      </c>
      <c r="K24" t="inlineStr">
        <is>
          <t>지배기업 소유주지분</t>
        </is>
      </c>
      <c r="L24" t="inlineStr">
        <is>
          <t>20260819000055</t>
        </is>
      </c>
      <c r="M24" s="4" t="inlineStr">
        <is>
          <t>열기</t>
        </is>
      </c>
    </row>
    <row r="25">
      <c r="A25" t="n">
        <v>24</v>
      </c>
      <c r="B25" t="inlineStr">
        <is>
          <t>GPT</t>
        </is>
      </c>
      <c r="C25" t="inlineStr">
        <is>
          <t>카카오</t>
        </is>
      </c>
      <c r="D25" t="inlineStr">
        <is>
          <t>035720</t>
        </is>
      </c>
      <c r="E25" t="inlineStr">
        <is>
          <t>2026Q2</t>
        </is>
      </c>
      <c r="F25" t="inlineStr">
        <is>
          <t>지배주주자본</t>
        </is>
      </c>
      <c r="G25" t="inlineStr">
        <is>
          <t>당기말</t>
        </is>
      </c>
      <c r="H25" s="3" t="n">
        <v>11782230191255</v>
      </c>
      <c r="I25" t="inlineStr">
        <is>
          <t>id</t>
        </is>
      </c>
      <c r="J25" t="inlineStr">
        <is>
          <t>ifrs-full_EquityAttributableToOwnersOfParent</t>
        </is>
      </c>
      <c r="K25" t="inlineStr">
        <is>
          <t>지배기업의 소유주에게 귀속되는 자본</t>
        </is>
      </c>
      <c r="L25" t="inlineStr">
        <is>
          <t>20260819000055</t>
        </is>
      </c>
      <c r="M25" s="4" t="inlineStr">
        <is>
          <t>열기</t>
        </is>
      </c>
    </row>
    <row r="26">
      <c r="A26" t="n">
        <v>25</v>
      </c>
      <c r="B26" t="inlineStr">
        <is>
          <t>GPT</t>
        </is>
      </c>
      <c r="C26" t="inlineStr">
        <is>
          <t>카카오</t>
        </is>
      </c>
      <c r="D26" t="inlineStr">
        <is>
          <t>035720</t>
        </is>
      </c>
      <c r="E26" t="inlineStr">
        <is>
          <t>2026Q2</t>
        </is>
      </c>
      <c r="F26" t="inlineStr">
        <is>
          <t>영업이익</t>
        </is>
      </c>
      <c r="G26" t="inlineStr">
        <is>
          <t>당기 YTD</t>
        </is>
      </c>
      <c r="H26" s="3" t="n">
        <v>488414000457</v>
      </c>
      <c r="I26" t="inlineStr">
        <is>
          <t>id</t>
        </is>
      </c>
      <c r="J26" t="inlineStr">
        <is>
          <t>dart_OperatingIncomeLoss</t>
        </is>
      </c>
      <c r="K26" t="inlineStr">
        <is>
          <t>영업이익</t>
        </is>
      </c>
      <c r="L26" t="inlineStr">
        <is>
          <t>20260819000055</t>
        </is>
      </c>
      <c r="M26" s="4" t="inlineStr">
        <is>
          <t>열기</t>
        </is>
      </c>
    </row>
    <row r="27">
      <c r="A27" t="n">
        <v>26</v>
      </c>
      <c r="B27" t="inlineStr">
        <is>
          <t>GPT</t>
        </is>
      </c>
      <c r="C27" t="inlineStr">
        <is>
          <t>카카오</t>
        </is>
      </c>
      <c r="D27" t="inlineStr">
        <is>
          <t>035720</t>
        </is>
      </c>
      <c r="E27" t="inlineStr">
        <is>
          <t>2026Q2</t>
        </is>
      </c>
      <c r="F27" t="inlineStr">
        <is>
          <t>이자부부채</t>
        </is>
      </c>
      <c r="G27" t="inlineStr">
        <is>
          <t>당기말</t>
        </is>
      </c>
      <c r="H27" s="3" t="n">
        <v>3123738070768</v>
      </c>
      <c r="I27" t="inlineStr">
        <is>
          <t>id</t>
        </is>
      </c>
      <c r="J27" t="inlineStr">
        <is>
          <t>ifrs-full_CurrentBorrowingsAndCurrentPortionOfNoncurrentBorrowings + ifrs-full_CurrentLeaseLiabilities + ifrs-full_LongtermBorrowings + ifrs-full_NoncurrentLeaseLiabilities</t>
        </is>
      </c>
      <c r="K27" t="inlineStr">
        <is>
          <t>단기차입금 + 단기리스부채 + 장기차입금 + 장기리스부채</t>
        </is>
      </c>
      <c r="L27" t="inlineStr">
        <is>
          <t>20260819000055</t>
        </is>
      </c>
      <c r="M27" s="4" t="inlineStr">
        <is>
          <t>열기</t>
        </is>
      </c>
    </row>
    <row r="28">
      <c r="A28" s="5" t="n">
        <v>27</v>
      </c>
      <c r="B28" s="5" t="inlineStr">
        <is>
          <t>GPT</t>
        </is>
      </c>
      <c r="C28" s="5" t="inlineStr">
        <is>
          <t>카카오</t>
        </is>
      </c>
      <c r="D28" s="5" t="inlineStr">
        <is>
          <t>035720</t>
        </is>
      </c>
      <c r="E28" s="5" t="inlineStr">
        <is>
          <t>2026Q2</t>
        </is>
      </c>
      <c r="F28" s="5" t="inlineStr">
        <is>
          <t>매출총이익</t>
        </is>
      </c>
      <c r="G28" s="5" t="inlineStr">
        <is>
          <t>당기 YTD</t>
        </is>
      </c>
      <c r="H28" s="6" t="n"/>
      <c r="I28" s="5" t="inlineStr">
        <is>
          <t>none</t>
        </is>
      </c>
      <c r="J28" s="5" t="inlineStr"/>
      <c r="K28" s="5" t="inlineStr"/>
      <c r="L28" s="5" t="inlineStr">
        <is>
          <t>20260819000055</t>
        </is>
      </c>
      <c r="M28" s="7" t="inlineStr">
        <is>
          <t>열기</t>
        </is>
      </c>
      <c r="N28" s="5" t="n"/>
      <c r="O28" s="5" t="n"/>
    </row>
    <row r="29">
      <c r="A29" t="n">
        <v>28</v>
      </c>
      <c r="B29" t="inlineStr">
        <is>
          <t>사용자</t>
        </is>
      </c>
      <c r="C29" t="inlineStr">
        <is>
          <t>LG</t>
        </is>
      </c>
      <c r="D29" t="inlineStr">
        <is>
          <t>003550</t>
        </is>
      </c>
      <c r="E29" t="inlineStr">
        <is>
          <t>2026Q2</t>
        </is>
      </c>
      <c r="F29" t="inlineStr">
        <is>
          <t>지배주주순이익</t>
        </is>
      </c>
      <c r="G29" t="inlineStr">
        <is>
          <t>당기 YTD</t>
        </is>
      </c>
      <c r="H29" s="3" t="n">
        <v>805510000000</v>
      </c>
      <c r="I29" t="inlineStr">
        <is>
          <t>id</t>
        </is>
      </c>
      <c r="J29" t="inlineStr">
        <is>
          <t>ifrs-full_ProfitLossAttributableToOwnersOfParent</t>
        </is>
      </c>
      <c r="K29" t="inlineStr">
        <is>
          <t>지배기업의 소유주</t>
        </is>
      </c>
      <c r="L29" t="inlineStr">
        <is>
          <t>20260814002972</t>
        </is>
      </c>
      <c r="M29" s="4" t="inlineStr">
        <is>
          <t>열기</t>
        </is>
      </c>
    </row>
    <row r="30">
      <c r="A30" t="n">
        <v>29</v>
      </c>
      <c r="B30" t="inlineStr">
        <is>
          <t>사용자</t>
        </is>
      </c>
      <c r="C30" t="inlineStr">
        <is>
          <t>LG</t>
        </is>
      </c>
      <c r="D30" t="inlineStr">
        <is>
          <t>003550</t>
        </is>
      </c>
      <c r="E30" t="inlineStr">
        <is>
          <t>2026Q2</t>
        </is>
      </c>
      <c r="F30" t="inlineStr">
        <is>
          <t>지배주주자본</t>
        </is>
      </c>
      <c r="G30" t="inlineStr">
        <is>
          <t>당기말</t>
        </is>
      </c>
      <c r="H30" s="3" t="n">
        <v>31035798000000</v>
      </c>
      <c r="I30" t="inlineStr">
        <is>
          <t>id</t>
        </is>
      </c>
      <c r="J30" t="inlineStr">
        <is>
          <t>ifrs-full_EquityAttributableToOwnersOfParent</t>
        </is>
      </c>
      <c r="K30" t="inlineStr">
        <is>
          <t>지배기업의 소유주에게 귀속되는 자본</t>
        </is>
      </c>
      <c r="L30" t="inlineStr">
        <is>
          <t>20260814002972</t>
        </is>
      </c>
      <c r="M30" s="4" t="inlineStr">
        <is>
          <t>열기</t>
        </is>
      </c>
    </row>
    <row r="31">
      <c r="A31" t="n">
        <v>30</v>
      </c>
      <c r="B31" t="inlineStr">
        <is>
          <t>사용자</t>
        </is>
      </c>
      <c r="C31" t="inlineStr">
        <is>
          <t>LG</t>
        </is>
      </c>
      <c r="D31" t="inlineStr">
        <is>
          <t>003550</t>
        </is>
      </c>
      <c r="E31" t="inlineStr">
        <is>
          <t>2026Q2</t>
        </is>
      </c>
      <c r="F31" t="inlineStr">
        <is>
          <t>영업이익</t>
        </is>
      </c>
      <c r="G31" t="inlineStr">
        <is>
          <t>당기 YTD</t>
        </is>
      </c>
      <c r="H31" s="3" t="n">
        <v>946808000000</v>
      </c>
      <c r="I31" t="inlineStr">
        <is>
          <t>id</t>
        </is>
      </c>
      <c r="J31" t="inlineStr">
        <is>
          <t>dart_OperatingIncomeLoss</t>
        </is>
      </c>
      <c r="K31" t="inlineStr">
        <is>
          <t>영업이익</t>
        </is>
      </c>
      <c r="L31" t="inlineStr">
        <is>
          <t>20260814002972</t>
        </is>
      </c>
      <c r="M31" s="4" t="inlineStr">
        <is>
          <t>열기</t>
        </is>
      </c>
    </row>
    <row r="32">
      <c r="A32" t="n">
        <v>31</v>
      </c>
      <c r="B32" t="inlineStr">
        <is>
          <t>사용자</t>
        </is>
      </c>
      <c r="C32" t="inlineStr">
        <is>
          <t>LG</t>
        </is>
      </c>
      <c r="D32" t="inlineStr">
        <is>
          <t>003550</t>
        </is>
      </c>
      <c r="E32" t="inlineStr">
        <is>
          <t>2026Q2</t>
        </is>
      </c>
      <c r="F32" t="inlineStr">
        <is>
          <t>이자부부채</t>
        </is>
      </c>
      <c r="G32" t="inlineStr">
        <is>
          <t>당기말</t>
        </is>
      </c>
      <c r="H32" s="3" t="n">
        <v>585765000000</v>
      </c>
      <c r="I32" t="inlineStr">
        <is>
          <t>id</t>
        </is>
      </c>
      <c r="J32" t="inlineStr">
        <is>
          <t>ifrs-full_CurrentLeaseLiabilities + ifrs-full_CurrentPortionOfLongtermBorrowings + ifrs-full_LongtermBorrowings + ifrs-full_NoncurrentLeaseLiabilities</t>
        </is>
      </c>
      <c r="K32" t="inlineStr">
        <is>
          <t>유동성 리스부채 + 유동성장기차입금 + 장기차입금 + 리스부채</t>
        </is>
      </c>
      <c r="L32" t="inlineStr">
        <is>
          <t>20260814002972</t>
        </is>
      </c>
      <c r="M32" s="4" t="inlineStr">
        <is>
          <t>열기</t>
        </is>
      </c>
    </row>
    <row r="33">
      <c r="A33" t="n">
        <v>32</v>
      </c>
      <c r="B33" t="inlineStr">
        <is>
          <t>GPT</t>
        </is>
      </c>
      <c r="C33" t="inlineStr">
        <is>
          <t>SK</t>
        </is>
      </c>
      <c r="D33" t="inlineStr">
        <is>
          <t>034730</t>
        </is>
      </c>
      <c r="E33" t="inlineStr">
        <is>
          <t>2026Q2</t>
        </is>
      </c>
      <c r="F33" t="inlineStr">
        <is>
          <t>지배주주순이익</t>
        </is>
      </c>
      <c r="G33" t="inlineStr">
        <is>
          <t>당기 YTD</t>
        </is>
      </c>
      <c r="H33" s="3" t="n">
        <v>9344993000000</v>
      </c>
      <c r="I33" t="inlineStr">
        <is>
          <t>id</t>
        </is>
      </c>
      <c r="J33" t="inlineStr">
        <is>
          <t>ifrs-full_ProfitLossAttributableToOwnersOfParent</t>
        </is>
      </c>
      <c r="K33" t="inlineStr">
        <is>
          <t>지배기업소유주지분순이익</t>
        </is>
      </c>
      <c r="L33" t="inlineStr">
        <is>
          <t>20260814002185</t>
        </is>
      </c>
      <c r="M33" s="4" t="inlineStr">
        <is>
          <t>열기</t>
        </is>
      </c>
    </row>
    <row r="34">
      <c r="A34" t="n">
        <v>33</v>
      </c>
      <c r="B34" t="inlineStr">
        <is>
          <t>GPT</t>
        </is>
      </c>
      <c r="C34" t="inlineStr">
        <is>
          <t>SK</t>
        </is>
      </c>
      <c r="D34" t="inlineStr">
        <is>
          <t>034730</t>
        </is>
      </c>
      <c r="E34" t="inlineStr">
        <is>
          <t>2026Q2</t>
        </is>
      </c>
      <c r="F34" t="inlineStr">
        <is>
          <t>지배주주자본</t>
        </is>
      </c>
      <c r="G34" t="inlineStr">
        <is>
          <t>당기말</t>
        </is>
      </c>
      <c r="H34" s="3" t="n">
        <v>37194940000000</v>
      </c>
      <c r="I34" t="inlineStr">
        <is>
          <t>id</t>
        </is>
      </c>
      <c r="J34" t="inlineStr">
        <is>
          <t>ifrs-full_EquityAttributableToOwnersOfParent</t>
        </is>
      </c>
      <c r="K34" t="inlineStr">
        <is>
          <t>지배기업소유주에 귀속되는 자본</t>
        </is>
      </c>
      <c r="L34" t="inlineStr">
        <is>
          <t>20260814002185</t>
        </is>
      </c>
      <c r="M34" s="4" t="inlineStr">
        <is>
          <t>열기</t>
        </is>
      </c>
    </row>
    <row r="35">
      <c r="A35" t="n">
        <v>34</v>
      </c>
      <c r="B35" t="inlineStr">
        <is>
          <t>GPT</t>
        </is>
      </c>
      <c r="C35" t="inlineStr">
        <is>
          <t>SK</t>
        </is>
      </c>
      <c r="D35" t="inlineStr">
        <is>
          <t>034730</t>
        </is>
      </c>
      <c r="E35" t="inlineStr">
        <is>
          <t>2026Q2</t>
        </is>
      </c>
      <c r="F35" t="inlineStr">
        <is>
          <t>영업이익</t>
        </is>
      </c>
      <c r="G35" t="inlineStr">
        <is>
          <t>당기 YTD</t>
        </is>
      </c>
      <c r="H35" s="3" t="n">
        <v>8514366000000</v>
      </c>
      <c r="I35" t="inlineStr">
        <is>
          <t>id</t>
        </is>
      </c>
      <c r="J35" t="inlineStr">
        <is>
          <t>dart_OperatingIncomeLoss</t>
        </is>
      </c>
      <c r="K35" t="inlineStr">
        <is>
          <t>영업이익</t>
        </is>
      </c>
      <c r="L35" t="inlineStr">
        <is>
          <t>20260814002185</t>
        </is>
      </c>
      <c r="M35" s="4" t="inlineStr">
        <is>
          <t>열기</t>
        </is>
      </c>
    </row>
    <row r="36">
      <c r="A36" t="n">
        <v>35</v>
      </c>
      <c r="B36" t="inlineStr">
        <is>
          <t>GPT</t>
        </is>
      </c>
      <c r="C36" t="inlineStr">
        <is>
          <t>SK</t>
        </is>
      </c>
      <c r="D36" t="inlineStr">
        <is>
          <t>034730</t>
        </is>
      </c>
      <c r="E36" t="inlineStr">
        <is>
          <t>2026Q2</t>
        </is>
      </c>
      <c r="F36" t="inlineStr">
        <is>
          <t>이자부부채</t>
        </is>
      </c>
      <c r="G36" t="inlineStr">
        <is>
          <t>당기말</t>
        </is>
      </c>
      <c r="H36" s="3" t="n">
        <v>72211754000000</v>
      </c>
      <c r="I36" t="inlineStr">
        <is>
          <t>id</t>
        </is>
      </c>
      <c r="J36" t="inlineStr">
        <is>
          <t>ifrs-full_CurrentPortionOfLongtermBorrowings + ifrs-full_LongtermBorrowings + -표준계정코드 미사용-</t>
        </is>
      </c>
      <c r="K36" t="inlineStr">
        <is>
          <t>유동성장기부채 + 사채및장기차입금 + 단기차입금</t>
        </is>
      </c>
      <c r="L36" t="inlineStr">
        <is>
          <t>20260814002185</t>
        </is>
      </c>
      <c r="M36" s="4" t="inlineStr">
        <is>
          <t>열기</t>
        </is>
      </c>
    </row>
    <row r="37">
      <c r="A37" t="n">
        <v>36</v>
      </c>
      <c r="B37" t="inlineStr">
        <is>
          <t>사용자</t>
        </is>
      </c>
      <c r="C37" t="inlineStr">
        <is>
          <t>한주라이트메탈</t>
        </is>
      </c>
      <c r="D37" t="inlineStr">
        <is>
          <t>198940</t>
        </is>
      </c>
      <c r="E37" t="inlineStr">
        <is>
          <t>2026Q2</t>
        </is>
      </c>
      <c r="F37" t="inlineStr">
        <is>
          <t>지배주주순이익</t>
        </is>
      </c>
      <c r="G37" t="inlineStr">
        <is>
          <t>당기 YTD</t>
        </is>
      </c>
      <c r="H37" s="3" t="n">
        <v>716755534</v>
      </c>
      <c r="I37" t="inlineStr">
        <is>
          <t>id</t>
        </is>
      </c>
      <c r="J37" t="inlineStr">
        <is>
          <t>ifrs-full_ProfitLossAttributableToOwnersOfParent</t>
        </is>
      </c>
      <c r="K37" t="inlineStr">
        <is>
          <t>지배기업의 소유주에게 귀속되는 당기순이익(손실)</t>
        </is>
      </c>
      <c r="L37" t="inlineStr">
        <is>
          <t>20260930000262</t>
        </is>
      </c>
      <c r="M37" s="4" t="inlineStr">
        <is>
          <t>열기</t>
        </is>
      </c>
    </row>
    <row r="38">
      <c r="A38" t="n">
        <v>37</v>
      </c>
      <c r="B38" t="inlineStr">
        <is>
          <t>사용자</t>
        </is>
      </c>
      <c r="C38" t="inlineStr">
        <is>
          <t>한주라이트메탈</t>
        </is>
      </c>
      <c r="D38" t="inlineStr">
        <is>
          <t>198940</t>
        </is>
      </c>
      <c r="E38" t="inlineStr">
        <is>
          <t>2026Q2</t>
        </is>
      </c>
      <c r="F38" t="inlineStr">
        <is>
          <t>지배주주자본</t>
        </is>
      </c>
      <c r="G38" t="inlineStr">
        <is>
          <t>당기말</t>
        </is>
      </c>
      <c r="H38" s="3" t="n">
        <v>48295311206</v>
      </c>
      <c r="I38" t="inlineStr">
        <is>
          <t>id</t>
        </is>
      </c>
      <c r="J38" t="inlineStr">
        <is>
          <t>ifrs-full_EquityAttributableToOwnersOfParent</t>
        </is>
      </c>
      <c r="K38" t="inlineStr">
        <is>
          <t>지배기업의 소유주에게 귀속되는 자본</t>
        </is>
      </c>
      <c r="L38" t="inlineStr">
        <is>
          <t>20260930000262</t>
        </is>
      </c>
      <c r="M38" s="4" t="inlineStr">
        <is>
          <t>열기</t>
        </is>
      </c>
    </row>
    <row r="39">
      <c r="A39" t="n">
        <v>38</v>
      </c>
      <c r="B39" t="inlineStr">
        <is>
          <t>사용자</t>
        </is>
      </c>
      <c r="C39" t="inlineStr">
        <is>
          <t>한주라이트메탈</t>
        </is>
      </c>
      <c r="D39" t="inlineStr">
        <is>
          <t>198940</t>
        </is>
      </c>
      <c r="E39" t="inlineStr">
        <is>
          <t>2026Q2</t>
        </is>
      </c>
      <c r="F39" t="inlineStr">
        <is>
          <t>영업이익</t>
        </is>
      </c>
      <c r="G39" t="inlineStr">
        <is>
          <t>당기 YTD</t>
        </is>
      </c>
      <c r="H39" s="3" t="n">
        <v>3822138288</v>
      </c>
      <c r="I39" t="inlineStr">
        <is>
          <t>id</t>
        </is>
      </c>
      <c r="J39" t="inlineStr">
        <is>
          <t>dart_OperatingIncomeLoss</t>
        </is>
      </c>
      <c r="K39" t="inlineStr">
        <is>
          <t>영업이익(손실)</t>
        </is>
      </c>
      <c r="L39" t="inlineStr">
        <is>
          <t>20260930000262</t>
        </is>
      </c>
      <c r="M39" s="4" t="inlineStr">
        <is>
          <t>열기</t>
        </is>
      </c>
    </row>
    <row r="40">
      <c r="A40" t="n">
        <v>39</v>
      </c>
      <c r="B40" t="inlineStr">
        <is>
          <t>사용자</t>
        </is>
      </c>
      <c r="C40" t="inlineStr">
        <is>
          <t>한주라이트메탈</t>
        </is>
      </c>
      <c r="D40" t="inlineStr">
        <is>
          <t>198940</t>
        </is>
      </c>
      <c r="E40" t="inlineStr">
        <is>
          <t>2026Q2</t>
        </is>
      </c>
      <c r="F40" t="inlineStr">
        <is>
          <t>이자부부채</t>
        </is>
      </c>
      <c r="G40" t="inlineStr">
        <is>
          <t>당기말</t>
        </is>
      </c>
      <c r="H40" s="3" t="n">
        <v>83576743233</v>
      </c>
      <c r="I40" t="inlineStr">
        <is>
          <t>id</t>
        </is>
      </c>
      <c r="J40" t="inlineStr">
        <is>
          <t>dart_CurrentLoansReceived + dart_CurrentPortionOfConvertibleBonds + dart_NoncurrentBondsIssued + dart_NoncurrentLoansReceived</t>
        </is>
      </c>
      <c r="K40" t="inlineStr">
        <is>
          <t>단기 금융기관 차입금(사채 제외) + 유동성전환사채 + 장기 사채 + 장기 금융기관 차입금(사채 제외)</t>
        </is>
      </c>
      <c r="L40" t="inlineStr">
        <is>
          <t>20260930000262</t>
        </is>
      </c>
      <c r="M40" s="4" t="inlineStr">
        <is>
          <t>열기</t>
        </is>
      </c>
    </row>
    <row r="41">
      <c r="A41" t="n">
        <v>40</v>
      </c>
      <c r="B41" t="inlineStr">
        <is>
          <t>GPT</t>
        </is>
      </c>
      <c r="C41" t="inlineStr">
        <is>
          <t>메쎄이상</t>
        </is>
      </c>
      <c r="D41" t="inlineStr">
        <is>
          <t>408920</t>
        </is>
      </c>
      <c r="E41" t="inlineStr">
        <is>
          <t>2026Q2</t>
        </is>
      </c>
      <c r="F41" t="inlineStr">
        <is>
          <t>지배주주순이익</t>
        </is>
      </c>
      <c r="G41" t="inlineStr">
        <is>
          <t>당기 YTD</t>
        </is>
      </c>
      <c r="H41" s="3" t="n">
        <v>9977068365</v>
      </c>
      <c r="I41" t="inlineStr">
        <is>
          <t>id</t>
        </is>
      </c>
      <c r="J41" t="inlineStr">
        <is>
          <t>ifrs-full_ProfitLossAttributableToOwnersOfParent</t>
        </is>
      </c>
      <c r="K41" t="inlineStr">
        <is>
          <t>지배기업의 소유주에게 귀속되는 당기순이익(손실)</t>
        </is>
      </c>
      <c r="L41" t="inlineStr">
        <is>
          <t>20260814001277</t>
        </is>
      </c>
      <c r="M41" s="4" t="inlineStr">
        <is>
          <t>열기</t>
        </is>
      </c>
    </row>
    <row r="42">
      <c r="A42" t="n">
        <v>41</v>
      </c>
      <c r="B42" t="inlineStr">
        <is>
          <t>GPT</t>
        </is>
      </c>
      <c r="C42" t="inlineStr">
        <is>
          <t>메쎄이상</t>
        </is>
      </c>
      <c r="D42" t="inlineStr">
        <is>
          <t>408920</t>
        </is>
      </c>
      <c r="E42" t="inlineStr">
        <is>
          <t>2026Q2</t>
        </is>
      </c>
      <c r="F42" t="inlineStr">
        <is>
          <t>지배주주자본</t>
        </is>
      </c>
      <c r="G42" t="inlineStr">
        <is>
          <t>당기말</t>
        </is>
      </c>
      <c r="H42" s="3" t="n">
        <v>84433612608</v>
      </c>
      <c r="I42" t="inlineStr">
        <is>
          <t>id</t>
        </is>
      </c>
      <c r="J42" t="inlineStr">
        <is>
          <t>ifrs-full_EquityAttributableToOwnersOfParent</t>
        </is>
      </c>
      <c r="K42" t="inlineStr">
        <is>
          <t>지배기업의 소유주에게 귀속되는 자본</t>
        </is>
      </c>
      <c r="L42" t="inlineStr">
        <is>
          <t>20260814001277</t>
        </is>
      </c>
      <c r="M42" s="4" t="inlineStr">
        <is>
          <t>열기</t>
        </is>
      </c>
    </row>
    <row r="43">
      <c r="A43" t="n">
        <v>42</v>
      </c>
      <c r="B43" t="inlineStr">
        <is>
          <t>GPT</t>
        </is>
      </c>
      <c r="C43" t="inlineStr">
        <is>
          <t>메쎄이상</t>
        </is>
      </c>
      <c r="D43" t="inlineStr">
        <is>
          <t>408920</t>
        </is>
      </c>
      <c r="E43" t="inlineStr">
        <is>
          <t>2026Q2</t>
        </is>
      </c>
      <c r="F43" t="inlineStr">
        <is>
          <t>영업이익</t>
        </is>
      </c>
      <c r="G43" t="inlineStr">
        <is>
          <t>당기 YTD</t>
        </is>
      </c>
      <c r="H43" s="3" t="n">
        <v>11602425223</v>
      </c>
      <c r="I43" t="inlineStr">
        <is>
          <t>id</t>
        </is>
      </c>
      <c r="J43" t="inlineStr">
        <is>
          <t>dart_OperatingIncomeLoss</t>
        </is>
      </c>
      <c r="K43" t="inlineStr">
        <is>
          <t>영업이익(손실)</t>
        </is>
      </c>
      <c r="L43" t="inlineStr">
        <is>
          <t>20260814001277</t>
        </is>
      </c>
      <c r="M43" s="4" t="inlineStr">
        <is>
          <t>열기</t>
        </is>
      </c>
    </row>
    <row r="44">
      <c r="A44" t="n">
        <v>43</v>
      </c>
      <c r="B44" t="inlineStr">
        <is>
          <t>GPT</t>
        </is>
      </c>
      <c r="C44" t="inlineStr">
        <is>
          <t>메쎄이상</t>
        </is>
      </c>
      <c r="D44" t="inlineStr">
        <is>
          <t>408920</t>
        </is>
      </c>
      <c r="E44" t="inlineStr">
        <is>
          <t>2026Q2</t>
        </is>
      </c>
      <c r="F44" t="inlineStr">
        <is>
          <t>이자부부채</t>
        </is>
      </c>
      <c r="G44" t="inlineStr">
        <is>
          <t>당기말</t>
        </is>
      </c>
      <c r="H44" s="3" t="n">
        <v>7034449091</v>
      </c>
      <c r="I44" t="inlineStr">
        <is>
          <t>id</t>
        </is>
      </c>
      <c r="J44" t="inlineStr">
        <is>
          <t>ifrs-full_CurrentLeaseLiabilities + ifrs-full_NoncurrentLeaseLiabilities</t>
        </is>
      </c>
      <c r="K44" t="inlineStr">
        <is>
          <t>유동 리스부채 + 비유동 리스부채</t>
        </is>
      </c>
      <c r="L44" t="inlineStr">
        <is>
          <t>20260814001277</t>
        </is>
      </c>
      <c r="M44" s="4" t="inlineStr">
        <is>
          <t>열기</t>
        </is>
      </c>
    </row>
    <row r="45">
      <c r="A45" s="5" t="n">
        <v>44</v>
      </c>
      <c r="B45" s="5" t="inlineStr">
        <is>
          <t>GPT</t>
        </is>
      </c>
      <c r="C45" s="5" t="inlineStr">
        <is>
          <t>메쎄이상</t>
        </is>
      </c>
      <c r="D45" s="5" t="inlineStr">
        <is>
          <t>408920</t>
        </is>
      </c>
      <c r="E45" s="5" t="inlineStr">
        <is>
          <t>2026Q2</t>
        </is>
      </c>
      <c r="F45" s="5" t="inlineStr">
        <is>
          <t>장기부채</t>
        </is>
      </c>
      <c r="G45" s="5" t="inlineStr">
        <is>
          <t>당기말</t>
        </is>
      </c>
      <c r="H45" s="6" t="n">
        <v>0</v>
      </c>
      <c r="I45" s="5" t="inlineStr">
        <is>
          <t>id_blank</t>
        </is>
      </c>
      <c r="J45" s="5" t="inlineStr">
        <is>
          <t>dart_LongTermBorrowingsGross</t>
        </is>
      </c>
      <c r="K45" s="5" t="inlineStr">
        <is>
          <t>장기차입금</t>
        </is>
      </c>
      <c r="L45" s="5" t="inlineStr">
        <is>
          <t>20260814001277</t>
        </is>
      </c>
      <c r="M45" s="7" t="inlineStr">
        <is>
          <t>열기</t>
        </is>
      </c>
      <c r="N45" s="5" t="n"/>
      <c r="O45" s="5" t="n"/>
    </row>
    <row r="46">
      <c r="A46" s="5" t="n">
        <v>45</v>
      </c>
      <c r="B46" s="5" t="inlineStr">
        <is>
          <t>사용자</t>
        </is>
      </c>
      <c r="C46" s="5" t="inlineStr">
        <is>
          <t>진양제약</t>
        </is>
      </c>
      <c r="D46" s="5" t="inlineStr">
        <is>
          <t>007370</t>
        </is>
      </c>
      <c r="E46" s="5" t="inlineStr">
        <is>
          <t>2026Q2</t>
        </is>
      </c>
      <c r="F46" s="5" t="inlineStr">
        <is>
          <t>지배주주순이익</t>
        </is>
      </c>
      <c r="G46" s="5" t="inlineStr">
        <is>
          <t>당기 YTD</t>
        </is>
      </c>
      <c r="H46" s="6" t="n">
        <v>4468961675</v>
      </c>
      <c r="I46" s="5" t="inlineStr">
        <is>
          <t>separate_only</t>
        </is>
      </c>
      <c r="J46" s="5" t="inlineStr">
        <is>
          <t>ifrs-full_ProfitLoss</t>
        </is>
      </c>
      <c r="K46" s="5" t="inlineStr">
        <is>
          <t>당기순이익</t>
        </is>
      </c>
      <c r="L46" s="5" t="inlineStr">
        <is>
          <t>20260813000886</t>
        </is>
      </c>
      <c r="M46" s="7" t="inlineStr">
        <is>
          <t>열기</t>
        </is>
      </c>
      <c r="N46" s="5" t="n"/>
      <c r="O46" s="5" t="n"/>
    </row>
    <row r="47">
      <c r="A47" s="5" t="n">
        <v>46</v>
      </c>
      <c r="B47" s="5" t="inlineStr">
        <is>
          <t>사용자</t>
        </is>
      </c>
      <c r="C47" s="5" t="inlineStr">
        <is>
          <t>진양제약</t>
        </is>
      </c>
      <c r="D47" s="5" t="inlineStr">
        <is>
          <t>007370</t>
        </is>
      </c>
      <c r="E47" s="5" t="inlineStr">
        <is>
          <t>2026Q2</t>
        </is>
      </c>
      <c r="F47" s="5" t="inlineStr">
        <is>
          <t>지배주주자본</t>
        </is>
      </c>
      <c r="G47" s="5" t="inlineStr">
        <is>
          <t>당기말</t>
        </is>
      </c>
      <c r="H47" s="6" t="n">
        <v>162158792919</v>
      </c>
      <c r="I47" s="5" t="inlineStr">
        <is>
          <t>separate_only</t>
        </is>
      </c>
      <c r="J47" s="5" t="inlineStr">
        <is>
          <t>ifrs-full_Equity</t>
        </is>
      </c>
      <c r="K47" s="5" t="inlineStr">
        <is>
          <t>자본총계</t>
        </is>
      </c>
      <c r="L47" s="5" t="inlineStr">
        <is>
          <t>20260813000886</t>
        </is>
      </c>
      <c r="M47" s="7" t="inlineStr">
        <is>
          <t>열기</t>
        </is>
      </c>
      <c r="N47" s="5" t="n"/>
      <c r="O47" s="5" t="n"/>
    </row>
    <row r="48">
      <c r="A48" t="n">
        <v>47</v>
      </c>
      <c r="B48" t="inlineStr">
        <is>
          <t>사용자</t>
        </is>
      </c>
      <c r="C48" t="inlineStr">
        <is>
          <t>진양제약</t>
        </is>
      </c>
      <c r="D48" t="inlineStr">
        <is>
          <t>007370</t>
        </is>
      </c>
      <c r="E48" t="inlineStr">
        <is>
          <t>2026Q2</t>
        </is>
      </c>
      <c r="F48" t="inlineStr">
        <is>
          <t>영업이익</t>
        </is>
      </c>
      <c r="G48" t="inlineStr">
        <is>
          <t>당기 YTD</t>
        </is>
      </c>
      <c r="H48" s="3" t="n">
        <v>7584181462</v>
      </c>
      <c r="I48" t="inlineStr">
        <is>
          <t>id</t>
        </is>
      </c>
      <c r="J48" t="inlineStr">
        <is>
          <t>dart_OperatingIncomeLoss</t>
        </is>
      </c>
      <c r="K48" t="inlineStr">
        <is>
          <t>영업이익</t>
        </is>
      </c>
      <c r="L48" t="inlineStr">
        <is>
          <t>20260813000886</t>
        </is>
      </c>
      <c r="M48" s="4" t="inlineStr">
        <is>
          <t>열기</t>
        </is>
      </c>
    </row>
    <row r="49">
      <c r="A49" t="n">
        <v>48</v>
      </c>
      <c r="B49" t="inlineStr">
        <is>
          <t>사용자</t>
        </is>
      </c>
      <c r="C49" t="inlineStr">
        <is>
          <t>진양제약</t>
        </is>
      </c>
      <c r="D49" t="inlineStr">
        <is>
          <t>007370</t>
        </is>
      </c>
      <c r="E49" t="inlineStr">
        <is>
          <t>2026Q2</t>
        </is>
      </c>
      <c r="F49" t="inlineStr">
        <is>
          <t>이자부부채</t>
        </is>
      </c>
      <c r="G49" t="inlineStr">
        <is>
          <t>당기말</t>
        </is>
      </c>
      <c r="H49" s="3" t="n">
        <v>75568608288</v>
      </c>
      <c r="I49" t="inlineStr">
        <is>
          <t>id</t>
        </is>
      </c>
      <c r="J49" t="inlineStr">
        <is>
          <t>dart_CurrentLoansReceived + dart_CurrentPortionOfConvertibleBonds</t>
        </is>
      </c>
      <c r="K49" t="inlineStr">
        <is>
          <t>단기차입금 + 전환사채</t>
        </is>
      </c>
      <c r="L49" t="inlineStr">
        <is>
          <t>20260813000886</t>
        </is>
      </c>
      <c r="M49" s="4" t="inlineStr">
        <is>
          <t>열기</t>
        </is>
      </c>
    </row>
    <row r="50">
      <c r="A50" s="5" t="n">
        <v>49</v>
      </c>
      <c r="B50" s="5" t="inlineStr">
        <is>
          <t>사용자</t>
        </is>
      </c>
      <c r="C50" s="5" t="inlineStr">
        <is>
          <t>진양제약</t>
        </is>
      </c>
      <c r="D50" s="5" t="inlineStr">
        <is>
          <t>007370</t>
        </is>
      </c>
      <c r="E50" s="5" t="inlineStr">
        <is>
          <t>2026Q2</t>
        </is>
      </c>
      <c r="F50" s="5" t="inlineStr">
        <is>
          <t>단기금융상품</t>
        </is>
      </c>
      <c r="G50" s="5" t="inlineStr">
        <is>
          <t>당기말</t>
        </is>
      </c>
      <c r="H50" s="6" t="n">
        <v>0</v>
      </c>
      <c r="I50" s="5" t="inlineStr">
        <is>
          <t>zero_default</t>
        </is>
      </c>
      <c r="J50" s="5" t="inlineStr"/>
      <c r="K50" s="5" t="inlineStr"/>
      <c r="L50" s="5" t="inlineStr">
        <is>
          <t>20260813000886</t>
        </is>
      </c>
      <c r="M50" s="7" t="inlineStr">
        <is>
          <t>열기</t>
        </is>
      </c>
      <c r="N50" s="5" t="n"/>
      <c r="O50" s="5" t="n"/>
    </row>
    <row r="51">
      <c r="A51" s="5" t="n">
        <v>50</v>
      </c>
      <c r="B51" s="5" t="inlineStr">
        <is>
          <t>사용자</t>
        </is>
      </c>
      <c r="C51" s="5" t="inlineStr">
        <is>
          <t>진양제약</t>
        </is>
      </c>
      <c r="D51" s="5" t="inlineStr">
        <is>
          <t>007370</t>
        </is>
      </c>
      <c r="E51" s="5" t="inlineStr">
        <is>
          <t>2026Q2</t>
        </is>
      </c>
      <c r="F51" s="5" t="inlineStr">
        <is>
          <t>장기부채</t>
        </is>
      </c>
      <c r="G51" s="5" t="inlineStr">
        <is>
          <t>당기말</t>
        </is>
      </c>
      <c r="H51" s="6" t="n">
        <v>0</v>
      </c>
      <c r="I51" s="5" t="inlineStr">
        <is>
          <t>zero_default</t>
        </is>
      </c>
      <c r="J51" s="5" t="inlineStr"/>
      <c r="K51" s="5" t="inlineStr"/>
      <c r="L51" s="5" t="inlineStr">
        <is>
          <t>20260813000886</t>
        </is>
      </c>
      <c r="M51" s="7" t="inlineStr">
        <is>
          <t>열기</t>
        </is>
      </c>
      <c r="N51" s="5" t="n"/>
      <c r="O51" s="5" t="n"/>
    </row>
    <row r="52">
      <c r="A52" t="n">
        <v>51</v>
      </c>
      <c r="B52" t="inlineStr">
        <is>
          <t>GPT</t>
        </is>
      </c>
      <c r="C52" t="inlineStr">
        <is>
          <t>롯데지주</t>
        </is>
      </c>
      <c r="D52" t="inlineStr">
        <is>
          <t>004990</t>
        </is>
      </c>
      <c r="E52" t="inlineStr">
        <is>
          <t>2026Q2</t>
        </is>
      </c>
      <c r="F52" t="inlineStr">
        <is>
          <t>지배주주순이익</t>
        </is>
      </c>
      <c r="G52" t="inlineStr">
        <is>
          <t>당기 YTD</t>
        </is>
      </c>
      <c r="H52" s="3" t="n">
        <v>42120798515</v>
      </c>
      <c r="I52" t="inlineStr">
        <is>
          <t>id</t>
        </is>
      </c>
      <c r="J52" t="inlineStr">
        <is>
          <t>ifrs-full_ProfitLossAttributableToOwnersOfParent</t>
        </is>
      </c>
      <c r="K52" t="inlineStr">
        <is>
          <t>지배기업의 소유주에게 귀속되는 당기순이익(손실)</t>
        </is>
      </c>
      <c r="L52" t="inlineStr">
        <is>
          <t>20260814004197</t>
        </is>
      </c>
      <c r="M52" s="4" t="inlineStr">
        <is>
          <t>열기</t>
        </is>
      </c>
    </row>
    <row r="53">
      <c r="A53" t="n">
        <v>52</v>
      </c>
      <c r="B53" t="inlineStr">
        <is>
          <t>GPT</t>
        </is>
      </c>
      <c r="C53" t="inlineStr">
        <is>
          <t>롯데지주</t>
        </is>
      </c>
      <c r="D53" t="inlineStr">
        <is>
          <t>004990</t>
        </is>
      </c>
      <c r="E53" t="inlineStr">
        <is>
          <t>2026Q2</t>
        </is>
      </c>
      <c r="F53" t="inlineStr">
        <is>
          <t>지배주주자본</t>
        </is>
      </c>
      <c r="G53" t="inlineStr">
        <is>
          <t>당기말</t>
        </is>
      </c>
      <c r="H53" s="3" t="n">
        <v>6395557318834</v>
      </c>
      <c r="I53" t="inlineStr">
        <is>
          <t>id</t>
        </is>
      </c>
      <c r="J53" t="inlineStr">
        <is>
          <t>ifrs-full_EquityAttributableToOwnersOfParent</t>
        </is>
      </c>
      <c r="K53" t="inlineStr">
        <is>
          <t>지배기업 소유주지분</t>
        </is>
      </c>
      <c r="L53" t="inlineStr">
        <is>
          <t>20260814004197</t>
        </is>
      </c>
      <c r="M53" s="4" t="inlineStr">
        <is>
          <t>열기</t>
        </is>
      </c>
    </row>
    <row r="54">
      <c r="A54" t="n">
        <v>53</v>
      </c>
      <c r="B54" t="inlineStr">
        <is>
          <t>GPT</t>
        </is>
      </c>
      <c r="C54" t="inlineStr">
        <is>
          <t>롯데지주</t>
        </is>
      </c>
      <c r="D54" t="inlineStr">
        <is>
          <t>004990</t>
        </is>
      </c>
      <c r="E54" t="inlineStr">
        <is>
          <t>2026Q2</t>
        </is>
      </c>
      <c r="F54" t="inlineStr">
        <is>
          <t>영업이익</t>
        </is>
      </c>
      <c r="G54" t="inlineStr">
        <is>
          <t>당기 YTD</t>
        </is>
      </c>
      <c r="H54" s="3" t="n">
        <v>175054517946</v>
      </c>
      <c r="I54" t="inlineStr">
        <is>
          <t>id</t>
        </is>
      </c>
      <c r="J54" t="inlineStr">
        <is>
          <t>dart_OperatingIncomeLoss</t>
        </is>
      </c>
      <c r="K54" t="inlineStr">
        <is>
          <t>영업이익(손실)</t>
        </is>
      </c>
      <c r="L54" t="inlineStr">
        <is>
          <t>20260814004197</t>
        </is>
      </c>
      <c r="M54" s="4" t="inlineStr">
        <is>
          <t>열기</t>
        </is>
      </c>
    </row>
    <row r="55">
      <c r="A55" t="n">
        <v>54</v>
      </c>
      <c r="B55" t="inlineStr">
        <is>
          <t>GPT</t>
        </is>
      </c>
      <c r="C55" t="inlineStr">
        <is>
          <t>롯데지주</t>
        </is>
      </c>
      <c r="D55" t="inlineStr">
        <is>
          <t>004990</t>
        </is>
      </c>
      <c r="E55" t="inlineStr">
        <is>
          <t>2026Q2</t>
        </is>
      </c>
      <c r="F55" t="inlineStr">
        <is>
          <t>이자부부채</t>
        </is>
      </c>
      <c r="G55" t="inlineStr">
        <is>
          <t>당기말</t>
        </is>
      </c>
      <c r="H55" s="3" t="n">
        <v>8646179801846</v>
      </c>
      <c r="I55" t="inlineStr">
        <is>
          <t>id</t>
        </is>
      </c>
      <c r="J55" t="inlineStr">
        <is>
          <t>ifrs-full_CurrentBorrowingsAndCurrentPortionOfNoncurrentBorrowings + ifrs-full_LongtermBorrowings</t>
        </is>
      </c>
      <c r="K55" t="inlineStr">
        <is>
          <t>단기차입금및사채 + 장기차입금및사채</t>
        </is>
      </c>
      <c r="L55" t="inlineStr">
        <is>
          <t>20260814004197</t>
        </is>
      </c>
      <c r="M55" s="4" t="inlineStr">
        <is>
          <t>열기</t>
        </is>
      </c>
    </row>
    <row r="56">
      <c r="A56" s="5" t="n">
        <v>55</v>
      </c>
      <c r="B56" s="5" t="inlineStr">
        <is>
          <t>GPT</t>
        </is>
      </c>
      <c r="C56" s="5" t="inlineStr">
        <is>
          <t>롯데지주</t>
        </is>
      </c>
      <c r="D56" s="5" t="inlineStr">
        <is>
          <t>004990</t>
        </is>
      </c>
      <c r="E56" s="5" t="inlineStr">
        <is>
          <t>2026Q2</t>
        </is>
      </c>
      <c r="F56" s="5" t="inlineStr">
        <is>
          <t>단기금융상품</t>
        </is>
      </c>
      <c r="G56" s="5" t="inlineStr">
        <is>
          <t>당기말</t>
        </is>
      </c>
      <c r="H56" s="6" t="n">
        <v>0</v>
      </c>
      <c r="I56" s="5" t="inlineStr">
        <is>
          <t>zero_default</t>
        </is>
      </c>
      <c r="J56" s="5" t="inlineStr"/>
      <c r="K56" s="5" t="inlineStr"/>
      <c r="L56" s="5" t="inlineStr">
        <is>
          <t>20260814004197</t>
        </is>
      </c>
      <c r="M56" s="7" t="inlineStr">
        <is>
          <t>열기</t>
        </is>
      </c>
      <c r="N56" s="5" t="n"/>
      <c r="O56" s="5" t="n"/>
    </row>
    <row r="57">
      <c r="A57" s="5" t="n">
        <v>56</v>
      </c>
      <c r="B57" s="5" t="inlineStr">
        <is>
          <t>사용자</t>
        </is>
      </c>
      <c r="C57" s="5" t="inlineStr">
        <is>
          <t>한화플러스제4호스팩</t>
        </is>
      </c>
      <c r="D57" s="5" t="inlineStr">
        <is>
          <t>455310</t>
        </is>
      </c>
      <c r="E57" s="5" t="inlineStr">
        <is>
          <t>2025Q4</t>
        </is>
      </c>
      <c r="F57" s="5" t="inlineStr">
        <is>
          <t>지배주주순이익</t>
        </is>
      </c>
      <c r="G57" s="5" t="inlineStr">
        <is>
          <t>당기 YTD</t>
        </is>
      </c>
      <c r="H57" s="6" t="n">
        <v>155199091</v>
      </c>
      <c r="I57" s="5" t="inlineStr">
        <is>
          <t>separate_only</t>
        </is>
      </c>
      <c r="J57" s="5" t="inlineStr">
        <is>
          <t>ifrs-full_ProfitLoss</t>
        </is>
      </c>
      <c r="K57" s="5" t="inlineStr">
        <is>
          <t>당기순이익(손실)</t>
        </is>
      </c>
      <c r="L57" s="5" t="inlineStr">
        <is>
          <t>20260319000961</t>
        </is>
      </c>
      <c r="M57" s="7" t="inlineStr">
        <is>
          <t>열기</t>
        </is>
      </c>
      <c r="N57" s="5" t="n"/>
      <c r="O57" s="5" t="n"/>
    </row>
    <row r="58">
      <c r="A58" s="5" t="n">
        <v>57</v>
      </c>
      <c r="B58" s="5" t="inlineStr">
        <is>
          <t>사용자</t>
        </is>
      </c>
      <c r="C58" s="5" t="inlineStr">
        <is>
          <t>한화플러스제4호스팩</t>
        </is>
      </c>
      <c r="D58" s="5" t="inlineStr">
        <is>
          <t>455310</t>
        </is>
      </c>
      <c r="E58" s="5" t="inlineStr">
        <is>
          <t>2025Q4</t>
        </is>
      </c>
      <c r="F58" s="5" t="inlineStr">
        <is>
          <t>지배주주자본</t>
        </is>
      </c>
      <c r="G58" s="5" t="inlineStr">
        <is>
          <t>당기말</t>
        </is>
      </c>
      <c r="H58" s="6" t="n">
        <v>10384229137</v>
      </c>
      <c r="I58" s="5" t="inlineStr">
        <is>
          <t>separate_only</t>
        </is>
      </c>
      <c r="J58" s="5" t="inlineStr">
        <is>
          <t>ifrs-full_Equity</t>
        </is>
      </c>
      <c r="K58" s="5" t="inlineStr">
        <is>
          <t>자본총계</t>
        </is>
      </c>
      <c r="L58" s="5" t="inlineStr">
        <is>
          <t>20260319000961</t>
        </is>
      </c>
      <c r="M58" s="7" t="inlineStr">
        <is>
          <t>열기</t>
        </is>
      </c>
      <c r="N58" s="5" t="n"/>
      <c r="O58" s="5" t="n"/>
    </row>
    <row r="59">
      <c r="A59" t="n">
        <v>58</v>
      </c>
      <c r="B59" t="inlineStr">
        <is>
          <t>사용자</t>
        </is>
      </c>
      <c r="C59" t="inlineStr">
        <is>
          <t>한화플러스제4호스팩</t>
        </is>
      </c>
      <c r="D59" t="inlineStr">
        <is>
          <t>455310</t>
        </is>
      </c>
      <c r="E59" t="inlineStr">
        <is>
          <t>2025Q4</t>
        </is>
      </c>
      <c r="F59" t="inlineStr">
        <is>
          <t>영업이익</t>
        </is>
      </c>
      <c r="G59" t="inlineStr">
        <is>
          <t>당기 YTD</t>
        </is>
      </c>
      <c r="H59" s="3" t="n">
        <v>-60455970</v>
      </c>
      <c r="I59" t="inlineStr">
        <is>
          <t>id</t>
        </is>
      </c>
      <c r="J59" t="inlineStr">
        <is>
          <t>dart_OperatingIncomeLoss</t>
        </is>
      </c>
      <c r="K59" t="inlineStr">
        <is>
          <t>영업이익(손실)</t>
        </is>
      </c>
      <c r="L59" t="inlineStr">
        <is>
          <t>20260319000961</t>
        </is>
      </c>
      <c r="M59" s="4" t="inlineStr">
        <is>
          <t>열기</t>
        </is>
      </c>
    </row>
    <row r="60">
      <c r="A60" t="n">
        <v>59</v>
      </c>
      <c r="B60" t="inlineStr">
        <is>
          <t>사용자</t>
        </is>
      </c>
      <c r="C60" t="inlineStr">
        <is>
          <t>한화플러스제4호스팩</t>
        </is>
      </c>
      <c r="D60" t="inlineStr">
        <is>
          <t>455310</t>
        </is>
      </c>
      <c r="E60" t="inlineStr">
        <is>
          <t>2025Q4</t>
        </is>
      </c>
      <c r="F60" t="inlineStr">
        <is>
          <t>이자부부채</t>
        </is>
      </c>
      <c r="G60" t="inlineStr">
        <is>
          <t>당기말</t>
        </is>
      </c>
      <c r="H60" s="3" t="n">
        <v>1997421625</v>
      </c>
      <c r="I60" t="inlineStr">
        <is>
          <t>id</t>
        </is>
      </c>
      <c r="J60" t="inlineStr">
        <is>
          <t>dart_ConvertibleBonds</t>
        </is>
      </c>
      <c r="K60" t="inlineStr">
        <is>
          <t>전환사채, 총액</t>
        </is>
      </c>
      <c r="L60" t="inlineStr">
        <is>
          <t>20260319000961</t>
        </is>
      </c>
      <c r="M60" s="4" t="inlineStr">
        <is>
          <t>열기</t>
        </is>
      </c>
    </row>
    <row r="61">
      <c r="A61" s="5" t="n">
        <v>60</v>
      </c>
      <c r="B61" s="5" t="inlineStr">
        <is>
          <t>사용자</t>
        </is>
      </c>
      <c r="C61" s="5" t="inlineStr">
        <is>
          <t>한화플러스제4호스팩</t>
        </is>
      </c>
      <c r="D61" s="5" t="inlineStr">
        <is>
          <t>455310</t>
        </is>
      </c>
      <c r="E61" s="5" t="inlineStr">
        <is>
          <t>2025Q4</t>
        </is>
      </c>
      <c r="F61" s="5" t="inlineStr">
        <is>
          <t>매출총이익</t>
        </is>
      </c>
      <c r="G61" s="5" t="inlineStr">
        <is>
          <t>당기 YTD</t>
        </is>
      </c>
      <c r="H61" s="6" t="n"/>
      <c r="I61" s="5" t="inlineStr">
        <is>
          <t>none</t>
        </is>
      </c>
      <c r="J61" s="5" t="inlineStr"/>
      <c r="K61" s="5" t="inlineStr"/>
      <c r="L61" s="5" t="inlineStr">
        <is>
          <t>20260319000961</t>
        </is>
      </c>
      <c r="M61" s="7" t="inlineStr">
        <is>
          <t>열기</t>
        </is>
      </c>
      <c r="N61" s="5" t="n"/>
      <c r="O61" s="5" t="n"/>
    </row>
    <row r="62">
      <c r="A62" s="5" t="n">
        <v>61</v>
      </c>
      <c r="B62" s="5" t="inlineStr">
        <is>
          <t>사용자</t>
        </is>
      </c>
      <c r="C62" s="5" t="inlineStr">
        <is>
          <t>한화플러스제4호스팩</t>
        </is>
      </c>
      <c r="D62" s="5" t="inlineStr">
        <is>
          <t>455310</t>
        </is>
      </c>
      <c r="E62" s="5" t="inlineStr">
        <is>
          <t>2025Q4</t>
        </is>
      </c>
      <c r="F62" s="5" t="inlineStr">
        <is>
          <t>이자지급</t>
        </is>
      </c>
      <c r="G62" s="5" t="inlineStr">
        <is>
          <t>당기 YTD</t>
        </is>
      </c>
      <c r="H62" s="6" t="n"/>
      <c r="I62" s="5" t="inlineStr">
        <is>
          <t>none</t>
        </is>
      </c>
      <c r="J62" s="5" t="inlineStr"/>
      <c r="K62" s="5" t="inlineStr"/>
      <c r="L62" s="5" t="inlineStr">
        <is>
          <t>20260319000961</t>
        </is>
      </c>
      <c r="M62" s="7" t="inlineStr">
        <is>
          <t>열기</t>
        </is>
      </c>
      <c r="N62" s="5" t="n"/>
      <c r="O62" s="5" t="n"/>
    </row>
    <row r="63">
      <c r="A63" t="n">
        <v>62</v>
      </c>
      <c r="B63" t="inlineStr">
        <is>
          <t>GPT</t>
        </is>
      </c>
      <c r="C63" t="inlineStr">
        <is>
          <t>세아특수강</t>
        </is>
      </c>
      <c r="D63" t="inlineStr">
        <is>
          <t>019440</t>
        </is>
      </c>
      <c r="E63" t="inlineStr">
        <is>
          <t>2025Q3</t>
        </is>
      </c>
      <c r="F63" t="inlineStr">
        <is>
          <t>지배주주순이익</t>
        </is>
      </c>
      <c r="G63" t="inlineStr">
        <is>
          <t>당기 YTD</t>
        </is>
      </c>
      <c r="H63" s="3" t="n">
        <v>15177780491</v>
      </c>
      <c r="I63" t="inlineStr">
        <is>
          <t>id</t>
        </is>
      </c>
      <c r="J63" t="inlineStr">
        <is>
          <t>ifrs-full_ProfitLossAttributableToOwnersOfParent</t>
        </is>
      </c>
      <c r="K63" t="inlineStr">
        <is>
          <t>지배기업의 소유주에게 귀속되는 당기순이익(손실)</t>
        </is>
      </c>
      <c r="L63" t="inlineStr">
        <is>
          <t>20251114002977</t>
        </is>
      </c>
      <c r="M63" s="4" t="inlineStr">
        <is>
          <t>열기</t>
        </is>
      </c>
    </row>
    <row r="64">
      <c r="A64" t="n">
        <v>63</v>
      </c>
      <c r="B64" t="inlineStr">
        <is>
          <t>GPT</t>
        </is>
      </c>
      <c r="C64" t="inlineStr">
        <is>
          <t>세아특수강</t>
        </is>
      </c>
      <c r="D64" t="inlineStr">
        <is>
          <t>019440</t>
        </is>
      </c>
      <c r="E64" t="inlineStr">
        <is>
          <t>2025Q3</t>
        </is>
      </c>
      <c r="F64" t="inlineStr">
        <is>
          <t>지배주주자본</t>
        </is>
      </c>
      <c r="G64" t="inlineStr">
        <is>
          <t>당기말</t>
        </is>
      </c>
      <c r="H64" s="3" t="n">
        <v>336766245910</v>
      </c>
      <c r="I64" t="inlineStr">
        <is>
          <t>id</t>
        </is>
      </c>
      <c r="J64" t="inlineStr">
        <is>
          <t>ifrs-full_EquityAttributableToOwnersOfParent</t>
        </is>
      </c>
      <c r="K64" t="inlineStr">
        <is>
          <t>지배기업의 소유주에게 귀속되는 지분</t>
        </is>
      </c>
      <c r="L64" t="inlineStr">
        <is>
          <t>20251114002977</t>
        </is>
      </c>
      <c r="M64" s="4" t="inlineStr">
        <is>
          <t>열기</t>
        </is>
      </c>
    </row>
    <row r="65">
      <c r="A65" t="n">
        <v>64</v>
      </c>
      <c r="B65" t="inlineStr">
        <is>
          <t>GPT</t>
        </is>
      </c>
      <c r="C65" t="inlineStr">
        <is>
          <t>세아특수강</t>
        </is>
      </c>
      <c r="D65" t="inlineStr">
        <is>
          <t>019440</t>
        </is>
      </c>
      <c r="E65" t="inlineStr">
        <is>
          <t>2025Q3</t>
        </is>
      </c>
      <c r="F65" t="inlineStr">
        <is>
          <t>영업이익</t>
        </is>
      </c>
      <c r="G65" t="inlineStr">
        <is>
          <t>당기 YTD</t>
        </is>
      </c>
      <c r="H65" s="3" t="n">
        <v>27337929347</v>
      </c>
      <c r="I65" t="inlineStr">
        <is>
          <t>id</t>
        </is>
      </c>
      <c r="J65" t="inlineStr">
        <is>
          <t>dart_OperatingIncomeLoss</t>
        </is>
      </c>
      <c r="K65" t="inlineStr">
        <is>
          <t>영업이익(손실)</t>
        </is>
      </c>
      <c r="L65" t="inlineStr">
        <is>
          <t>20251114002977</t>
        </is>
      </c>
      <c r="M65" s="4" t="inlineStr">
        <is>
          <t>열기</t>
        </is>
      </c>
    </row>
    <row r="66">
      <c r="A66" t="n">
        <v>65</v>
      </c>
      <c r="B66" t="inlineStr">
        <is>
          <t>GPT</t>
        </is>
      </c>
      <c r="C66" t="inlineStr">
        <is>
          <t>세아특수강</t>
        </is>
      </c>
      <c r="D66" t="inlineStr">
        <is>
          <t>019440</t>
        </is>
      </c>
      <c r="E66" t="inlineStr">
        <is>
          <t>2025Q3</t>
        </is>
      </c>
      <c r="F66" t="inlineStr">
        <is>
          <t>이자부부채</t>
        </is>
      </c>
      <c r="G66" t="inlineStr">
        <is>
          <t>당기말</t>
        </is>
      </c>
      <c r="H66" s="3" t="n">
        <v>23868300000</v>
      </c>
      <c r="I66" t="inlineStr">
        <is>
          <t>id</t>
        </is>
      </c>
      <c r="J66" t="inlineStr">
        <is>
          <t>ifrs-full_NoncurrentPortionOfNoncurrentLoansReceived</t>
        </is>
      </c>
      <c r="K66" t="inlineStr">
        <is>
          <t>비유동성 금융기관 차입금(사채 제외)</t>
        </is>
      </c>
      <c r="L66" t="inlineStr">
        <is>
          <t>20251114002977</t>
        </is>
      </c>
      <c r="M66" s="4" t="inlineStr">
        <is>
          <t>열기</t>
        </is>
      </c>
    </row>
    <row r="67">
      <c r="A67" s="5" t="n">
        <v>66</v>
      </c>
      <c r="B67" s="5" t="inlineStr">
        <is>
          <t>GPT</t>
        </is>
      </c>
      <c r="C67" s="5" t="inlineStr">
        <is>
          <t>세아특수강</t>
        </is>
      </c>
      <c r="D67" s="5" t="inlineStr">
        <is>
          <t>019440</t>
        </is>
      </c>
      <c r="E67" s="5" t="inlineStr">
        <is>
          <t>2025Q3</t>
        </is>
      </c>
      <c r="F67" s="5" t="inlineStr">
        <is>
          <t>단기금융상품</t>
        </is>
      </c>
      <c r="G67" s="5" t="inlineStr">
        <is>
          <t>당기말</t>
        </is>
      </c>
      <c r="H67" s="6" t="n">
        <v>0</v>
      </c>
      <c r="I67" s="5" t="inlineStr">
        <is>
          <t>zero_default</t>
        </is>
      </c>
      <c r="J67" s="5" t="inlineStr"/>
      <c r="K67" s="5" t="inlineStr"/>
      <c r="L67" s="5" t="inlineStr">
        <is>
          <t>20251114002977</t>
        </is>
      </c>
      <c r="M67" s="7" t="inlineStr">
        <is>
          <t>열기</t>
        </is>
      </c>
      <c r="N67" s="5" t="n"/>
      <c r="O67" s="5" t="n"/>
    </row>
    <row r="68">
      <c r="A68" s="5" t="n">
        <v>67</v>
      </c>
      <c r="B68" s="5" t="inlineStr">
        <is>
          <t>GPT</t>
        </is>
      </c>
      <c r="C68" s="5" t="inlineStr">
        <is>
          <t>세아특수강</t>
        </is>
      </c>
      <c r="D68" s="5" t="inlineStr">
        <is>
          <t>019440</t>
        </is>
      </c>
      <c r="E68" s="5" t="inlineStr">
        <is>
          <t>2025Q3</t>
        </is>
      </c>
      <c r="F68" s="5" t="inlineStr">
        <is>
          <t>장기부채</t>
        </is>
      </c>
      <c r="G68" s="5" t="inlineStr">
        <is>
          <t>당기말</t>
        </is>
      </c>
      <c r="H68" s="6" t="n">
        <v>0</v>
      </c>
      <c r="I68" s="5" t="inlineStr">
        <is>
          <t>zero_default</t>
        </is>
      </c>
      <c r="J68" s="5" t="inlineStr"/>
      <c r="K68" s="5" t="inlineStr"/>
      <c r="L68" s="5" t="inlineStr">
        <is>
          <t>20251114002977</t>
        </is>
      </c>
      <c r="M68" s="7" t="inlineStr">
        <is>
          <t>열기</t>
        </is>
      </c>
      <c r="N68" s="5" t="n"/>
      <c r="O68" s="5" t="n"/>
    </row>
    <row r="69">
      <c r="A69" s="5" t="n">
        <v>68</v>
      </c>
      <c r="B69" s="5" t="inlineStr">
        <is>
          <t>사용자</t>
        </is>
      </c>
      <c r="C69" s="5" t="inlineStr">
        <is>
          <t>더라미</t>
        </is>
      </c>
      <c r="D69" s="5" t="inlineStr">
        <is>
          <t>032860</t>
        </is>
      </c>
      <c r="E69" s="5" t="inlineStr">
        <is>
          <t>2026Q2</t>
        </is>
      </c>
      <c r="F69" s="5" t="inlineStr">
        <is>
          <t>지배주주순이익</t>
        </is>
      </c>
      <c r="G69" s="5" t="inlineStr">
        <is>
          <t>당기 YTD</t>
        </is>
      </c>
      <c r="H69" s="6" t="n">
        <v>-1542948785</v>
      </c>
      <c r="I69" s="5" t="inlineStr">
        <is>
          <t>separate_only</t>
        </is>
      </c>
      <c r="J69" s="5" t="inlineStr">
        <is>
          <t>ifrs-full_ProfitLoss</t>
        </is>
      </c>
      <c r="K69" s="5" t="inlineStr">
        <is>
          <t>당기순이익(손실)</t>
        </is>
      </c>
      <c r="L69" s="5" t="inlineStr">
        <is>
          <t>20261001000436</t>
        </is>
      </c>
      <c r="M69" s="7" t="inlineStr">
        <is>
          <t>열기</t>
        </is>
      </c>
      <c r="N69" s="5" t="n"/>
      <c r="O69" s="5" t="n"/>
    </row>
    <row r="70">
      <c r="A70" s="5" t="n">
        <v>69</v>
      </c>
      <c r="B70" s="5" t="inlineStr">
        <is>
          <t>사용자</t>
        </is>
      </c>
      <c r="C70" s="5" t="inlineStr">
        <is>
          <t>더라미</t>
        </is>
      </c>
      <c r="D70" s="5" t="inlineStr">
        <is>
          <t>032860</t>
        </is>
      </c>
      <c r="E70" s="5" t="inlineStr">
        <is>
          <t>2026Q2</t>
        </is>
      </c>
      <c r="F70" s="5" t="inlineStr">
        <is>
          <t>지배주주자본</t>
        </is>
      </c>
      <c r="G70" s="5" t="inlineStr">
        <is>
          <t>당기말</t>
        </is>
      </c>
      <c r="H70" s="6" t="n">
        <v>50862387832</v>
      </c>
      <c r="I70" s="5" t="inlineStr">
        <is>
          <t>separate_only</t>
        </is>
      </c>
      <c r="J70" s="5" t="inlineStr">
        <is>
          <t>ifrs-full_Equity</t>
        </is>
      </c>
      <c r="K70" s="5" t="inlineStr">
        <is>
          <t>자본총계</t>
        </is>
      </c>
      <c r="L70" s="5" t="inlineStr">
        <is>
          <t>20261001000436</t>
        </is>
      </c>
      <c r="M70" s="7" t="inlineStr">
        <is>
          <t>열기</t>
        </is>
      </c>
      <c r="N70" s="5" t="n"/>
      <c r="O70" s="5" t="n"/>
    </row>
    <row r="71">
      <c r="A71" t="n">
        <v>70</v>
      </c>
      <c r="B71" t="inlineStr">
        <is>
          <t>사용자</t>
        </is>
      </c>
      <c r="C71" t="inlineStr">
        <is>
          <t>더라미</t>
        </is>
      </c>
      <c r="D71" t="inlineStr">
        <is>
          <t>032860</t>
        </is>
      </c>
      <c r="E71" t="inlineStr">
        <is>
          <t>2026Q2</t>
        </is>
      </c>
      <c r="F71" t="inlineStr">
        <is>
          <t>영업이익</t>
        </is>
      </c>
      <c r="G71" t="inlineStr">
        <is>
          <t>당기 YTD</t>
        </is>
      </c>
      <c r="H71" s="3" t="n">
        <v>-1473534255</v>
      </c>
      <c r="I71" t="inlineStr">
        <is>
          <t>id</t>
        </is>
      </c>
      <c r="J71" t="inlineStr">
        <is>
          <t>dart_OperatingIncomeLoss</t>
        </is>
      </c>
      <c r="K71" t="inlineStr">
        <is>
          <t>영업이익(손실)</t>
        </is>
      </c>
      <c r="L71" t="inlineStr">
        <is>
          <t>20261001000436</t>
        </is>
      </c>
      <c r="M71" s="4" t="inlineStr">
        <is>
          <t>열기</t>
        </is>
      </c>
    </row>
    <row r="72">
      <c r="A72" t="n">
        <v>71</v>
      </c>
      <c r="B72" t="inlineStr">
        <is>
          <t>사용자</t>
        </is>
      </c>
      <c r="C72" t="inlineStr">
        <is>
          <t>더라미</t>
        </is>
      </c>
      <c r="D72" t="inlineStr">
        <is>
          <t>032860</t>
        </is>
      </c>
      <c r="E72" t="inlineStr">
        <is>
          <t>2026Q2</t>
        </is>
      </c>
      <c r="F72" t="inlineStr">
        <is>
          <t>이자부부채</t>
        </is>
      </c>
      <c r="G72" t="inlineStr">
        <is>
          <t>당기말</t>
        </is>
      </c>
      <c r="H72" s="3" t="n">
        <v>453393640</v>
      </c>
      <c r="I72" t="inlineStr">
        <is>
          <t>id</t>
        </is>
      </c>
      <c r="J72" t="inlineStr">
        <is>
          <t>ifrs-full_NoncurrentLeaseLiabilities</t>
        </is>
      </c>
      <c r="K72" t="inlineStr">
        <is>
          <t>비유동 리스부채</t>
        </is>
      </c>
      <c r="L72" t="inlineStr">
        <is>
          <t>20261001000436</t>
        </is>
      </c>
      <c r="M72" s="4" t="inlineStr">
        <is>
          <t>열기</t>
        </is>
      </c>
    </row>
    <row r="73">
      <c r="A73" s="5" t="n">
        <v>72</v>
      </c>
      <c r="B73" s="5" t="inlineStr">
        <is>
          <t>사용자</t>
        </is>
      </c>
      <c r="C73" s="5" t="inlineStr">
        <is>
          <t>더라미</t>
        </is>
      </c>
      <c r="D73" s="5" t="inlineStr">
        <is>
          <t>032860</t>
        </is>
      </c>
      <c r="E73" s="5" t="inlineStr">
        <is>
          <t>2026Q2</t>
        </is>
      </c>
      <c r="F73" s="5" t="inlineStr">
        <is>
          <t>단기금융상품</t>
        </is>
      </c>
      <c r="G73" s="5" t="inlineStr">
        <is>
          <t>당기말</t>
        </is>
      </c>
      <c r="H73" s="6" t="n">
        <v>0</v>
      </c>
      <c r="I73" s="5" t="inlineStr">
        <is>
          <t>zero_default</t>
        </is>
      </c>
      <c r="J73" s="5" t="inlineStr"/>
      <c r="K73" s="5" t="inlineStr"/>
      <c r="L73" s="5" t="inlineStr">
        <is>
          <t>20261001000436</t>
        </is>
      </c>
      <c r="M73" s="7" t="inlineStr">
        <is>
          <t>열기</t>
        </is>
      </c>
      <c r="N73" s="5" t="n"/>
      <c r="O73" s="5" t="n"/>
    </row>
    <row r="74">
      <c r="A74" s="5" t="n">
        <v>73</v>
      </c>
      <c r="B74" s="5" t="inlineStr">
        <is>
          <t>사용자</t>
        </is>
      </c>
      <c r="C74" s="5" t="inlineStr">
        <is>
          <t>더라미</t>
        </is>
      </c>
      <c r="D74" s="5" t="inlineStr">
        <is>
          <t>032860</t>
        </is>
      </c>
      <c r="E74" s="5" t="inlineStr">
        <is>
          <t>2026Q2</t>
        </is>
      </c>
      <c r="F74" s="5" t="inlineStr">
        <is>
          <t>장기부채</t>
        </is>
      </c>
      <c r="G74" s="5" t="inlineStr">
        <is>
          <t>당기말</t>
        </is>
      </c>
      <c r="H74" s="6" t="n">
        <v>0</v>
      </c>
      <c r="I74" s="5" t="inlineStr">
        <is>
          <t>zero_default</t>
        </is>
      </c>
      <c r="J74" s="5" t="inlineStr"/>
      <c r="K74" s="5" t="inlineStr"/>
      <c r="L74" s="5" t="inlineStr">
        <is>
          <t>20261001000436</t>
        </is>
      </c>
      <c r="M74" s="7" t="inlineStr">
        <is>
          <t>열기</t>
        </is>
      </c>
      <c r="N74" s="5" t="n"/>
      <c r="O74" s="5" t="n"/>
    </row>
    <row r="75">
      <c r="A75" t="n">
        <v>74</v>
      </c>
      <c r="B75" t="inlineStr">
        <is>
          <t>GPT</t>
        </is>
      </c>
      <c r="C75" t="inlineStr">
        <is>
          <t>인크레더블버즈</t>
        </is>
      </c>
      <c r="D75" t="inlineStr">
        <is>
          <t>064090</t>
        </is>
      </c>
      <c r="E75" t="inlineStr">
        <is>
          <t>2026Q2</t>
        </is>
      </c>
      <c r="F75" t="inlineStr">
        <is>
          <t>지배주주순이익</t>
        </is>
      </c>
      <c r="G75" t="inlineStr">
        <is>
          <t>당기 YTD</t>
        </is>
      </c>
      <c r="H75" s="3" t="n">
        <v>-6909467351</v>
      </c>
      <c r="I75" t="inlineStr">
        <is>
          <t>id</t>
        </is>
      </c>
      <c r="J75" t="inlineStr">
        <is>
          <t>ifrs-full_ProfitLossAttributableToOwnersOfParent</t>
        </is>
      </c>
      <c r="K75" t="inlineStr">
        <is>
          <t>지배기업소유주지분</t>
        </is>
      </c>
      <c r="L75" t="inlineStr">
        <is>
          <t>20260814004242</t>
        </is>
      </c>
      <c r="M75" s="4" t="inlineStr">
        <is>
          <t>열기</t>
        </is>
      </c>
    </row>
    <row r="76">
      <c r="A76" t="n">
        <v>75</v>
      </c>
      <c r="B76" t="inlineStr">
        <is>
          <t>GPT</t>
        </is>
      </c>
      <c r="C76" t="inlineStr">
        <is>
          <t>인크레더블버즈</t>
        </is>
      </c>
      <c r="D76" t="inlineStr">
        <is>
          <t>064090</t>
        </is>
      </c>
      <c r="E76" t="inlineStr">
        <is>
          <t>2026Q2</t>
        </is>
      </c>
      <c r="F76" t="inlineStr">
        <is>
          <t>지배주주자본</t>
        </is>
      </c>
      <c r="G76" t="inlineStr">
        <is>
          <t>당기말</t>
        </is>
      </c>
      <c r="H76" s="3" t="n">
        <v>59853498326</v>
      </c>
      <c r="I76" t="inlineStr">
        <is>
          <t>id</t>
        </is>
      </c>
      <c r="J76" t="inlineStr">
        <is>
          <t>ifrs-full_EquityAttributableToOwnersOfParent</t>
        </is>
      </c>
      <c r="K76" t="inlineStr">
        <is>
          <t>지배기업의 소유주에게 귀속되는 자본</t>
        </is>
      </c>
      <c r="L76" t="inlineStr">
        <is>
          <t>20260814004242</t>
        </is>
      </c>
      <c r="M76" s="4" t="inlineStr">
        <is>
          <t>열기</t>
        </is>
      </c>
    </row>
    <row r="77">
      <c r="A77" t="n">
        <v>76</v>
      </c>
      <c r="B77" t="inlineStr">
        <is>
          <t>GPT</t>
        </is>
      </c>
      <c r="C77" t="inlineStr">
        <is>
          <t>인크레더블버즈</t>
        </is>
      </c>
      <c r="D77" t="inlineStr">
        <is>
          <t>064090</t>
        </is>
      </c>
      <c r="E77" t="inlineStr">
        <is>
          <t>2026Q2</t>
        </is>
      </c>
      <c r="F77" t="inlineStr">
        <is>
          <t>영업이익</t>
        </is>
      </c>
      <c r="G77" t="inlineStr">
        <is>
          <t>당기 YTD</t>
        </is>
      </c>
      <c r="H77" s="3" t="n">
        <v>-4807331916</v>
      </c>
      <c r="I77" t="inlineStr">
        <is>
          <t>id</t>
        </is>
      </c>
      <c r="J77" t="inlineStr">
        <is>
          <t>dart_OperatingIncomeLoss</t>
        </is>
      </c>
      <c r="K77" t="inlineStr">
        <is>
          <t>영업손실</t>
        </is>
      </c>
      <c r="L77" t="inlineStr">
        <is>
          <t>20260814004242</t>
        </is>
      </c>
      <c r="M77" s="4" t="inlineStr">
        <is>
          <t>열기</t>
        </is>
      </c>
    </row>
    <row r="78">
      <c r="A78" t="n">
        <v>77</v>
      </c>
      <c r="B78" t="inlineStr">
        <is>
          <t>GPT</t>
        </is>
      </c>
      <c r="C78" t="inlineStr">
        <is>
          <t>인크레더블버즈</t>
        </is>
      </c>
      <c r="D78" t="inlineStr">
        <is>
          <t>064090</t>
        </is>
      </c>
      <c r="E78" t="inlineStr">
        <is>
          <t>2026Q2</t>
        </is>
      </c>
      <c r="F78" t="inlineStr">
        <is>
          <t>이자부부채</t>
        </is>
      </c>
      <c r="G78" t="inlineStr">
        <is>
          <t>당기말</t>
        </is>
      </c>
      <c r="H78" s="3" t="n">
        <v>356132852</v>
      </c>
      <c r="I78" t="inlineStr">
        <is>
          <t>id</t>
        </is>
      </c>
      <c r="J78" t="inlineStr">
        <is>
          <t>ifrs-full_CurrentLeaseLiabilities + ifrs-full_NoncurrentLeaseLiabilities</t>
        </is>
      </c>
      <c r="K78" t="inlineStr">
        <is>
          <t>유동리스부채 + 비유동리스부채</t>
        </is>
      </c>
      <c r="L78" t="inlineStr">
        <is>
          <t>20260814004242</t>
        </is>
      </c>
      <c r="M78" s="4" t="inlineStr">
        <is>
          <t>열기</t>
        </is>
      </c>
    </row>
    <row r="79">
      <c r="A79" s="5" t="n">
        <v>78</v>
      </c>
      <c r="B79" s="5" t="inlineStr">
        <is>
          <t>GPT</t>
        </is>
      </c>
      <c r="C79" s="5" t="inlineStr">
        <is>
          <t>인크레더블버즈</t>
        </is>
      </c>
      <c r="D79" s="5" t="inlineStr">
        <is>
          <t>064090</t>
        </is>
      </c>
      <c r="E79" s="5" t="inlineStr">
        <is>
          <t>2026Q2</t>
        </is>
      </c>
      <c r="F79" s="5" t="inlineStr">
        <is>
          <t>단기금융상품</t>
        </is>
      </c>
      <c r="G79" s="5" t="inlineStr">
        <is>
          <t>당기말</t>
        </is>
      </c>
      <c r="H79" s="6" t="n">
        <v>0</v>
      </c>
      <c r="I79" s="5" t="inlineStr">
        <is>
          <t>zero_default</t>
        </is>
      </c>
      <c r="J79" s="5" t="inlineStr"/>
      <c r="K79" s="5" t="inlineStr"/>
      <c r="L79" s="5" t="inlineStr">
        <is>
          <t>20260814004242</t>
        </is>
      </c>
      <c r="M79" s="7" t="inlineStr">
        <is>
          <t>열기</t>
        </is>
      </c>
      <c r="N79" s="5" t="n"/>
      <c r="O79" s="5" t="n"/>
    </row>
    <row r="80">
      <c r="A80" s="5" t="n">
        <v>79</v>
      </c>
      <c r="B80" s="5" t="inlineStr">
        <is>
          <t>GPT</t>
        </is>
      </c>
      <c r="C80" s="5" t="inlineStr">
        <is>
          <t>인크레더블버즈</t>
        </is>
      </c>
      <c r="D80" s="5" t="inlineStr">
        <is>
          <t>064090</t>
        </is>
      </c>
      <c r="E80" s="5" t="inlineStr">
        <is>
          <t>2026Q2</t>
        </is>
      </c>
      <c r="F80" s="5" t="inlineStr">
        <is>
          <t>장기부채</t>
        </is>
      </c>
      <c r="G80" s="5" t="inlineStr">
        <is>
          <t>당기말</t>
        </is>
      </c>
      <c r="H80" s="6" t="n">
        <v>0</v>
      </c>
      <c r="I80" s="5" t="inlineStr">
        <is>
          <t>zero_default</t>
        </is>
      </c>
      <c r="J80" s="5" t="inlineStr"/>
      <c r="K80" s="5" t="inlineStr"/>
      <c r="L80" s="5" t="inlineStr">
        <is>
          <t>20260814004242</t>
        </is>
      </c>
      <c r="M80" s="7" t="inlineStr">
        <is>
          <t>열기</t>
        </is>
      </c>
      <c r="N80" s="5" t="n"/>
      <c r="O80" s="5" t="n"/>
    </row>
    <row r="81">
      <c r="A81" t="n">
        <v>80</v>
      </c>
      <c r="B81" t="inlineStr">
        <is>
          <t>사용자</t>
        </is>
      </c>
      <c r="C81" t="inlineStr">
        <is>
          <t>비피도</t>
        </is>
      </c>
      <c r="D81" t="inlineStr">
        <is>
          <t>238200</t>
        </is>
      </c>
      <c r="E81" t="inlineStr">
        <is>
          <t>2026Q2</t>
        </is>
      </c>
      <c r="F81" t="inlineStr">
        <is>
          <t>지배주주순이익</t>
        </is>
      </c>
      <c r="G81" t="inlineStr">
        <is>
          <t>당기 YTD</t>
        </is>
      </c>
      <c r="H81" s="3" t="n">
        <v>2985511589</v>
      </c>
      <c r="I81" t="inlineStr">
        <is>
          <t>id</t>
        </is>
      </c>
      <c r="J81" t="inlineStr">
        <is>
          <t>ifrs-full_ProfitLossAttributableToOwnersOfParent</t>
        </is>
      </c>
      <c r="K81" t="inlineStr">
        <is>
          <t>지배기업소유주지분순이익</t>
        </is>
      </c>
      <c r="L81" t="inlineStr">
        <is>
          <t>20260814001247</t>
        </is>
      </c>
      <c r="M81" s="4" t="inlineStr">
        <is>
          <t>열기</t>
        </is>
      </c>
    </row>
    <row r="82">
      <c r="A82" t="n">
        <v>81</v>
      </c>
      <c r="B82" t="inlineStr">
        <is>
          <t>사용자</t>
        </is>
      </c>
      <c r="C82" t="inlineStr">
        <is>
          <t>비피도</t>
        </is>
      </c>
      <c r="D82" t="inlineStr">
        <is>
          <t>238200</t>
        </is>
      </c>
      <c r="E82" t="inlineStr">
        <is>
          <t>2026Q2</t>
        </is>
      </c>
      <c r="F82" t="inlineStr">
        <is>
          <t>지배주주자본</t>
        </is>
      </c>
      <c r="G82" t="inlineStr">
        <is>
          <t>당기말</t>
        </is>
      </c>
      <c r="H82" s="3" t="n">
        <v>48936211986</v>
      </c>
      <c r="I82" t="inlineStr">
        <is>
          <t>id</t>
        </is>
      </c>
      <c r="J82" t="inlineStr">
        <is>
          <t>ifrs-full_EquityAttributableToOwnersOfParent</t>
        </is>
      </c>
      <c r="K82" t="inlineStr">
        <is>
          <t>지배기업의소유주비분</t>
        </is>
      </c>
      <c r="L82" t="inlineStr">
        <is>
          <t>20260814001247</t>
        </is>
      </c>
      <c r="M82" s="4" t="inlineStr">
        <is>
          <t>열기</t>
        </is>
      </c>
    </row>
    <row r="83">
      <c r="A83" t="n">
        <v>82</v>
      </c>
      <c r="B83" t="inlineStr">
        <is>
          <t>사용자</t>
        </is>
      </c>
      <c r="C83" t="inlineStr">
        <is>
          <t>비피도</t>
        </is>
      </c>
      <c r="D83" t="inlineStr">
        <is>
          <t>238200</t>
        </is>
      </c>
      <c r="E83" t="inlineStr">
        <is>
          <t>2026Q2</t>
        </is>
      </c>
      <c r="F83" t="inlineStr">
        <is>
          <t>영업이익</t>
        </is>
      </c>
      <c r="G83" t="inlineStr">
        <is>
          <t>당기 YTD</t>
        </is>
      </c>
      <c r="H83" s="3" t="n">
        <v>-1006768137</v>
      </c>
      <c r="I83" t="inlineStr">
        <is>
          <t>id</t>
        </is>
      </c>
      <c r="J83" t="inlineStr">
        <is>
          <t>dart_OperatingIncomeLoss</t>
        </is>
      </c>
      <c r="K83" t="inlineStr">
        <is>
          <t>영업이익(손실)</t>
        </is>
      </c>
      <c r="L83" t="inlineStr">
        <is>
          <t>20260814001247</t>
        </is>
      </c>
      <c r="M83" s="4" t="inlineStr">
        <is>
          <t>열기</t>
        </is>
      </c>
    </row>
    <row r="84">
      <c r="A84" t="n">
        <v>83</v>
      </c>
      <c r="B84" t="inlineStr">
        <is>
          <t>사용자</t>
        </is>
      </c>
      <c r="C84" t="inlineStr">
        <is>
          <t>비피도</t>
        </is>
      </c>
      <c r="D84" t="inlineStr">
        <is>
          <t>238200</t>
        </is>
      </c>
      <c r="E84" t="inlineStr">
        <is>
          <t>2026Q2</t>
        </is>
      </c>
      <c r="F84" t="inlineStr">
        <is>
          <t>이자부부채</t>
        </is>
      </c>
      <c r="G84" t="inlineStr">
        <is>
          <t>당기말</t>
        </is>
      </c>
      <c r="H84" s="3" t="n">
        <v>217685043</v>
      </c>
      <c r="I84" t="inlineStr">
        <is>
          <t>id</t>
        </is>
      </c>
      <c r="J84" t="inlineStr">
        <is>
          <t>ifrs-full_CurrentLeaseLiabilities + ifrs-full_NoncurrentLeaseLiabilities</t>
        </is>
      </c>
      <c r="K84" t="inlineStr">
        <is>
          <t>유동 리스부채 + 비유동 리스부채</t>
        </is>
      </c>
      <c r="L84" t="inlineStr">
        <is>
          <t>20260814001247</t>
        </is>
      </c>
      <c r="M84" s="4" t="inlineStr">
        <is>
          <t>열기</t>
        </is>
      </c>
    </row>
    <row r="85">
      <c r="A85" s="5" t="n">
        <v>84</v>
      </c>
      <c r="B85" s="5" t="inlineStr">
        <is>
          <t>사용자</t>
        </is>
      </c>
      <c r="C85" s="5" t="inlineStr">
        <is>
          <t>비피도</t>
        </is>
      </c>
      <c r="D85" s="5" t="inlineStr">
        <is>
          <t>238200</t>
        </is>
      </c>
      <c r="E85" s="5" t="inlineStr">
        <is>
          <t>2026Q2</t>
        </is>
      </c>
      <c r="F85" s="5" t="inlineStr">
        <is>
          <t>단기금융상품</t>
        </is>
      </c>
      <c r="G85" s="5" t="inlineStr">
        <is>
          <t>당기말</t>
        </is>
      </c>
      <c r="H85" s="6" t="n">
        <v>0</v>
      </c>
      <c r="I85" s="5" t="inlineStr">
        <is>
          <t>zero_default</t>
        </is>
      </c>
      <c r="J85" s="5" t="inlineStr"/>
      <c r="K85" s="5" t="inlineStr"/>
      <c r="L85" s="5" t="inlineStr">
        <is>
          <t>20260814001247</t>
        </is>
      </c>
      <c r="M85" s="7" t="inlineStr">
        <is>
          <t>열기</t>
        </is>
      </c>
      <c r="N85" s="5" t="n"/>
      <c r="O85" s="5" t="n"/>
    </row>
    <row r="86">
      <c r="A86" s="5" t="n">
        <v>85</v>
      </c>
      <c r="B86" s="5" t="inlineStr">
        <is>
          <t>사용자</t>
        </is>
      </c>
      <c r="C86" s="5" t="inlineStr">
        <is>
          <t>비피도</t>
        </is>
      </c>
      <c r="D86" s="5" t="inlineStr">
        <is>
          <t>238200</t>
        </is>
      </c>
      <c r="E86" s="5" t="inlineStr">
        <is>
          <t>2026Q2</t>
        </is>
      </c>
      <c r="F86" s="5" t="inlineStr">
        <is>
          <t>장기부채</t>
        </is>
      </c>
      <c r="G86" s="5" t="inlineStr">
        <is>
          <t>당기말</t>
        </is>
      </c>
      <c r="H86" s="6" t="n">
        <v>0</v>
      </c>
      <c r="I86" s="5" t="inlineStr">
        <is>
          <t>zero_default</t>
        </is>
      </c>
      <c r="J86" s="5" t="inlineStr"/>
      <c r="K86" s="5" t="inlineStr"/>
      <c r="L86" s="5" t="inlineStr">
        <is>
          <t>20260814001247</t>
        </is>
      </c>
      <c r="M86" s="7" t="inlineStr">
        <is>
          <t>열기</t>
        </is>
      </c>
      <c r="N86" s="5" t="n"/>
      <c r="O86" s="5" t="n"/>
    </row>
    <row r="87">
      <c r="A87" t="n">
        <v>86</v>
      </c>
      <c r="B87" t="inlineStr">
        <is>
          <t>GPT</t>
        </is>
      </c>
      <c r="C87" t="inlineStr">
        <is>
          <t>에이프로젠바이오로직스</t>
        </is>
      </c>
      <c r="D87" t="inlineStr">
        <is>
          <t>003060</t>
        </is>
      </c>
      <c r="E87" t="inlineStr">
        <is>
          <t>2026Q2</t>
        </is>
      </c>
      <c r="F87" t="inlineStr">
        <is>
          <t>지배주주순이익</t>
        </is>
      </c>
      <c r="G87" t="inlineStr">
        <is>
          <t>당기 YTD</t>
        </is>
      </c>
      <c r="H87" s="3" t="n">
        <v>-17872159378</v>
      </c>
      <c r="I87" t="inlineStr">
        <is>
          <t>id</t>
        </is>
      </c>
      <c r="J87" t="inlineStr">
        <is>
          <t>ifrs-full_ProfitLossAttributableToOwnersOfParent</t>
        </is>
      </c>
      <c r="K87" t="inlineStr">
        <is>
          <t>지배기업 소유주지분</t>
        </is>
      </c>
      <c r="L87" t="inlineStr">
        <is>
          <t>20260813001428</t>
        </is>
      </c>
      <c r="M87" s="4" t="inlineStr">
        <is>
          <t>열기</t>
        </is>
      </c>
    </row>
    <row r="88">
      <c r="A88" t="n">
        <v>87</v>
      </c>
      <c r="B88" t="inlineStr">
        <is>
          <t>GPT</t>
        </is>
      </c>
      <c r="C88" t="inlineStr">
        <is>
          <t>에이프로젠바이오로직스</t>
        </is>
      </c>
      <c r="D88" t="inlineStr">
        <is>
          <t>003060</t>
        </is>
      </c>
      <c r="E88" t="inlineStr">
        <is>
          <t>2026Q2</t>
        </is>
      </c>
      <c r="F88" t="inlineStr">
        <is>
          <t>지배주주자본</t>
        </is>
      </c>
      <c r="G88" t="inlineStr">
        <is>
          <t>당기말</t>
        </is>
      </c>
      <c r="H88" s="3" t="n">
        <v>194239460560</v>
      </c>
      <c r="I88" t="inlineStr">
        <is>
          <t>id</t>
        </is>
      </c>
      <c r="J88" t="inlineStr">
        <is>
          <t>ifrs-full_EquityAttributableToOwnersOfParent</t>
        </is>
      </c>
      <c r="K88" t="inlineStr">
        <is>
          <t>지배기업 소유주지분</t>
        </is>
      </c>
      <c r="L88" t="inlineStr">
        <is>
          <t>20260813001428</t>
        </is>
      </c>
      <c r="M88" s="4" t="inlineStr">
        <is>
          <t>열기</t>
        </is>
      </c>
    </row>
    <row r="89">
      <c r="A89" t="n">
        <v>88</v>
      </c>
      <c r="B89" t="inlineStr">
        <is>
          <t>GPT</t>
        </is>
      </c>
      <c r="C89" t="inlineStr">
        <is>
          <t>에이프로젠바이오로직스</t>
        </is>
      </c>
      <c r="D89" t="inlineStr">
        <is>
          <t>003060</t>
        </is>
      </c>
      <c r="E89" t="inlineStr">
        <is>
          <t>2026Q2</t>
        </is>
      </c>
      <c r="F89" t="inlineStr">
        <is>
          <t>영업이익</t>
        </is>
      </c>
      <c r="G89" t="inlineStr">
        <is>
          <t>당기 YTD</t>
        </is>
      </c>
      <c r="H89" s="3" t="n">
        <v>-31074598752</v>
      </c>
      <c r="I89" t="inlineStr">
        <is>
          <t>id</t>
        </is>
      </c>
      <c r="J89" t="inlineStr">
        <is>
          <t>dart_OperatingIncomeLoss</t>
        </is>
      </c>
      <c r="K89" t="inlineStr">
        <is>
          <t>영업이익(손실)</t>
        </is>
      </c>
      <c r="L89" t="inlineStr">
        <is>
          <t>20260813001428</t>
        </is>
      </c>
      <c r="M89" s="4" t="inlineStr">
        <is>
          <t>열기</t>
        </is>
      </c>
    </row>
    <row r="90">
      <c r="A90" t="n">
        <v>89</v>
      </c>
      <c r="B90" t="inlineStr">
        <is>
          <t>GPT</t>
        </is>
      </c>
      <c r="C90" t="inlineStr">
        <is>
          <t>에이프로젠바이오로직스</t>
        </is>
      </c>
      <c r="D90" t="inlineStr">
        <is>
          <t>003060</t>
        </is>
      </c>
      <c r="E90" t="inlineStr">
        <is>
          <t>2026Q2</t>
        </is>
      </c>
      <c r="F90" t="inlineStr">
        <is>
          <t>이자부부채</t>
        </is>
      </c>
      <c r="G90" t="inlineStr">
        <is>
          <t>당기말</t>
        </is>
      </c>
      <c r="H90" s="3" t="n">
        <v>189950911938</v>
      </c>
      <c r="I90" t="inlineStr">
        <is>
          <t>id</t>
        </is>
      </c>
      <c r="J90" t="inlineStr">
        <is>
          <t>dart_CurrentPortionOfConvertibleBonds + ifrs-full_ShorttermBorrowings + ifrs-full_NoncurrentPortionOfNoncurrentLoansReceived</t>
        </is>
      </c>
      <c r="K90" t="inlineStr">
        <is>
          <t>유동성전환사채 + 차입금 및 사채 + 비유동 금융기관 차입금(사채 제외)의 비유동성 대체 부분</t>
        </is>
      </c>
      <c r="L90" t="inlineStr">
        <is>
          <t>20260813001428</t>
        </is>
      </c>
      <c r="M90" s="4" t="inlineStr">
        <is>
          <t>열기</t>
        </is>
      </c>
    </row>
    <row r="91">
      <c r="A91" s="5" t="n">
        <v>90</v>
      </c>
      <c r="B91" s="5" t="inlineStr">
        <is>
          <t>GPT</t>
        </is>
      </c>
      <c r="C91" s="5" t="inlineStr">
        <is>
          <t>에이프로젠바이오로직스</t>
        </is>
      </c>
      <c r="D91" s="5" t="inlineStr">
        <is>
          <t>003060</t>
        </is>
      </c>
      <c r="E91" s="5" t="inlineStr">
        <is>
          <t>2026Q2</t>
        </is>
      </c>
      <c r="F91" s="5" t="inlineStr">
        <is>
          <t>단기금융상품</t>
        </is>
      </c>
      <c r="G91" s="5" t="inlineStr">
        <is>
          <t>당기말</t>
        </is>
      </c>
      <c r="H91" s="6" t="n">
        <v>0</v>
      </c>
      <c r="I91" s="5" t="inlineStr">
        <is>
          <t>zero_default</t>
        </is>
      </c>
      <c r="J91" s="5" t="inlineStr"/>
      <c r="K91" s="5" t="inlineStr"/>
      <c r="L91" s="5" t="inlineStr">
        <is>
          <t>20260813001428</t>
        </is>
      </c>
      <c r="M91" s="7" t="inlineStr">
        <is>
          <t>열기</t>
        </is>
      </c>
      <c r="N91" s="5" t="n"/>
      <c r="O91" s="5" t="n"/>
    </row>
    <row r="92">
      <c r="A92" s="5" t="n">
        <v>91</v>
      </c>
      <c r="B92" s="5" t="inlineStr">
        <is>
          <t>GPT</t>
        </is>
      </c>
      <c r="C92" s="5" t="inlineStr">
        <is>
          <t>에이프로젠바이오로직스</t>
        </is>
      </c>
      <c r="D92" s="5" t="inlineStr">
        <is>
          <t>003060</t>
        </is>
      </c>
      <c r="E92" s="5" t="inlineStr">
        <is>
          <t>2026Q2</t>
        </is>
      </c>
      <c r="F92" s="5" t="inlineStr">
        <is>
          <t>장기부채</t>
        </is>
      </c>
      <c r="G92" s="5" t="inlineStr">
        <is>
          <t>당기말</t>
        </is>
      </c>
      <c r="H92" s="6" t="n">
        <v>0</v>
      </c>
      <c r="I92" s="5" t="inlineStr">
        <is>
          <t>zero_default</t>
        </is>
      </c>
      <c r="J92" s="5" t="inlineStr"/>
      <c r="K92" s="5" t="inlineStr"/>
      <c r="L92" s="5" t="inlineStr">
        <is>
          <t>20260813001428</t>
        </is>
      </c>
      <c r="M92" s="7" t="inlineStr">
        <is>
          <t>열기</t>
        </is>
      </c>
      <c r="N92" s="5" t="n"/>
      <c r="O92" s="5" t="n"/>
    </row>
    <row r="93">
      <c r="A93" t="n">
        <v>92</v>
      </c>
      <c r="B93" t="inlineStr">
        <is>
          <t>사용자</t>
        </is>
      </c>
      <c r="C93" t="inlineStr">
        <is>
          <t>SGC E&amp;C</t>
        </is>
      </c>
      <c r="D93" t="inlineStr">
        <is>
          <t>016250</t>
        </is>
      </c>
      <c r="E93" t="inlineStr">
        <is>
          <t>2026Q2</t>
        </is>
      </c>
      <c r="F93" t="inlineStr">
        <is>
          <t>지배주주순이익</t>
        </is>
      </c>
      <c r="G93" t="inlineStr">
        <is>
          <t>당기 YTD</t>
        </is>
      </c>
      <c r="H93" s="3" t="n">
        <v>14255757950</v>
      </c>
      <c r="I93" t="inlineStr">
        <is>
          <t>id</t>
        </is>
      </c>
      <c r="J93" t="inlineStr">
        <is>
          <t>ifrs-full_ProfitLossAttributableToOwnersOfParent</t>
        </is>
      </c>
      <c r="K93" t="inlineStr">
        <is>
          <t>지배기업의 소유주에게 귀속되는 당기순이익(손실)</t>
        </is>
      </c>
      <c r="L93" t="inlineStr">
        <is>
          <t>20260814000203</t>
        </is>
      </c>
      <c r="M93" s="4" t="inlineStr">
        <is>
          <t>열기</t>
        </is>
      </c>
    </row>
    <row r="94">
      <c r="A94" t="n">
        <v>93</v>
      </c>
      <c r="B94" t="inlineStr">
        <is>
          <t>사용자</t>
        </is>
      </c>
      <c r="C94" t="inlineStr">
        <is>
          <t>SGC E&amp;C</t>
        </is>
      </c>
      <c r="D94" t="inlineStr">
        <is>
          <t>016250</t>
        </is>
      </c>
      <c r="E94" t="inlineStr">
        <is>
          <t>2026Q2</t>
        </is>
      </c>
      <c r="F94" t="inlineStr">
        <is>
          <t>지배주주자본</t>
        </is>
      </c>
      <c r="G94" t="inlineStr">
        <is>
          <t>당기말</t>
        </is>
      </c>
      <c r="H94" s="3" t="n">
        <v>362366317283</v>
      </c>
      <c r="I94" t="inlineStr">
        <is>
          <t>id</t>
        </is>
      </c>
      <c r="J94" t="inlineStr">
        <is>
          <t>ifrs-full_EquityAttributableToOwnersOfParent</t>
        </is>
      </c>
      <c r="K94" t="inlineStr">
        <is>
          <t>지배기업의 소유주에게 귀속되는 자본</t>
        </is>
      </c>
      <c r="L94" t="inlineStr">
        <is>
          <t>20260814000203</t>
        </is>
      </c>
      <c r="M94" s="4" t="inlineStr">
        <is>
          <t>열기</t>
        </is>
      </c>
    </row>
    <row r="95">
      <c r="A95" t="n">
        <v>94</v>
      </c>
      <c r="B95" t="inlineStr">
        <is>
          <t>사용자</t>
        </is>
      </c>
      <c r="C95" t="inlineStr">
        <is>
          <t>SGC E&amp;C</t>
        </is>
      </c>
      <c r="D95" t="inlineStr">
        <is>
          <t>016250</t>
        </is>
      </c>
      <c r="E95" t="inlineStr">
        <is>
          <t>2026Q2</t>
        </is>
      </c>
      <c r="F95" t="inlineStr">
        <is>
          <t>영업이익</t>
        </is>
      </c>
      <c r="G95" t="inlineStr">
        <is>
          <t>당기 YTD</t>
        </is>
      </c>
      <c r="H95" s="3" t="n">
        <v>32190615843</v>
      </c>
      <c r="I95" t="inlineStr">
        <is>
          <t>id</t>
        </is>
      </c>
      <c r="J95" t="inlineStr">
        <is>
          <t>dart_OperatingIncomeLoss</t>
        </is>
      </c>
      <c r="K95" t="inlineStr">
        <is>
          <t>영업이익(손실)</t>
        </is>
      </c>
      <c r="L95" t="inlineStr">
        <is>
          <t>20260814000203</t>
        </is>
      </c>
      <c r="M95" s="4" t="inlineStr">
        <is>
          <t>열기</t>
        </is>
      </c>
    </row>
    <row r="96">
      <c r="A96" t="n">
        <v>95</v>
      </c>
      <c r="B96" t="inlineStr">
        <is>
          <t>사용자</t>
        </is>
      </c>
      <c r="C96" t="inlineStr">
        <is>
          <t>SGC E&amp;C</t>
        </is>
      </c>
      <c r="D96" t="inlineStr">
        <is>
          <t>016250</t>
        </is>
      </c>
      <c r="E96" t="inlineStr">
        <is>
          <t>2026Q2</t>
        </is>
      </c>
      <c r="F96" t="inlineStr">
        <is>
          <t>이자부부채</t>
        </is>
      </c>
      <c r="G96" t="inlineStr">
        <is>
          <t>당기말</t>
        </is>
      </c>
      <c r="H96" s="3" t="n">
        <v>648627714602</v>
      </c>
      <c r="I96" t="inlineStr">
        <is>
          <t>id</t>
        </is>
      </c>
      <c r="J96" t="inlineStr">
        <is>
          <t>ifrs-full_CurrentBorrowingsAndCurrentPortionOfNoncurrentBorrowings + ifrs-full_CurrentLeaseLiabilities + ifrs-full_LongtermBorrowings + ifrs-full_NoncurrentLeaseLiabilities</t>
        </is>
      </c>
      <c r="K96" t="inlineStr">
        <is>
          <t>차입금 및 사채 + 유동 리스부채 + 비유동 차입금(사채 포함)의 비유동성 부분 + 비유동 리스부채</t>
        </is>
      </c>
      <c r="L96" t="inlineStr">
        <is>
          <t>20260814000203</t>
        </is>
      </c>
      <c r="M96" s="4" t="inlineStr">
        <is>
          <t>열기</t>
        </is>
      </c>
    </row>
    <row r="97">
      <c r="A97" s="5" t="n">
        <v>96</v>
      </c>
      <c r="B97" s="5" t="inlineStr">
        <is>
          <t>사용자</t>
        </is>
      </c>
      <c r="C97" s="5" t="inlineStr">
        <is>
          <t>SGC E&amp;C</t>
        </is>
      </c>
      <c r="D97" s="5" t="inlineStr">
        <is>
          <t>016250</t>
        </is>
      </c>
      <c r="E97" s="5" t="inlineStr">
        <is>
          <t>2026Q2</t>
        </is>
      </c>
      <c r="F97" s="5" t="inlineStr">
        <is>
          <t>장기부채</t>
        </is>
      </c>
      <c r="G97" s="5" t="inlineStr">
        <is>
          <t>당기말</t>
        </is>
      </c>
      <c r="H97" s="6" t="n">
        <v>0</v>
      </c>
      <c r="I97" s="5" t="inlineStr">
        <is>
          <t>zero_default</t>
        </is>
      </c>
      <c r="J97" s="5" t="inlineStr"/>
      <c r="K97" s="5" t="inlineStr"/>
      <c r="L97" s="5" t="inlineStr">
        <is>
          <t>20260814000203</t>
        </is>
      </c>
      <c r="M97" s="7" t="inlineStr">
        <is>
          <t>열기</t>
        </is>
      </c>
      <c r="N97" s="5" t="n"/>
      <c r="O97" s="5" t="n"/>
    </row>
    <row r="98">
      <c r="A98" t="n">
        <v>97</v>
      </c>
      <c r="B98" t="inlineStr">
        <is>
          <t>GPT</t>
        </is>
      </c>
      <c r="C98" t="inlineStr">
        <is>
          <t>이노뎁</t>
        </is>
      </c>
      <c r="D98" t="inlineStr">
        <is>
          <t>303530</t>
        </is>
      </c>
      <c r="E98" t="inlineStr">
        <is>
          <t>2026Q2</t>
        </is>
      </c>
      <c r="F98" t="inlineStr">
        <is>
          <t>지배주주순이익</t>
        </is>
      </c>
      <c r="G98" t="inlineStr">
        <is>
          <t>당기 YTD</t>
        </is>
      </c>
      <c r="H98" s="3" t="n">
        <v>-3443498622</v>
      </c>
      <c r="I98" t="inlineStr">
        <is>
          <t>id</t>
        </is>
      </c>
      <c r="J98" t="inlineStr">
        <is>
          <t>ifrs-full_ProfitLossAttributableToOwnersOfParent</t>
        </is>
      </c>
      <c r="K98" t="inlineStr">
        <is>
          <t>지배기업의 소유주에게 귀속되는 당기순이익(손실)</t>
        </is>
      </c>
      <c r="L98" t="inlineStr">
        <is>
          <t>20260814003183</t>
        </is>
      </c>
      <c r="M98" s="4" t="inlineStr">
        <is>
          <t>열기</t>
        </is>
      </c>
    </row>
    <row r="99">
      <c r="A99" t="n">
        <v>98</v>
      </c>
      <c r="B99" t="inlineStr">
        <is>
          <t>GPT</t>
        </is>
      </c>
      <c r="C99" t="inlineStr">
        <is>
          <t>이노뎁</t>
        </is>
      </c>
      <c r="D99" t="inlineStr">
        <is>
          <t>303530</t>
        </is>
      </c>
      <c r="E99" t="inlineStr">
        <is>
          <t>2026Q2</t>
        </is>
      </c>
      <c r="F99" t="inlineStr">
        <is>
          <t>지배주주자본</t>
        </is>
      </c>
      <c r="G99" t="inlineStr">
        <is>
          <t>당기말</t>
        </is>
      </c>
      <c r="H99" s="3" t="n">
        <v>31130743634</v>
      </c>
      <c r="I99" t="inlineStr">
        <is>
          <t>id</t>
        </is>
      </c>
      <c r="J99" t="inlineStr">
        <is>
          <t>ifrs-full_EquityAttributableToOwnersOfParent</t>
        </is>
      </c>
      <c r="K99" t="inlineStr">
        <is>
          <t>지배기업의 소유주에게 귀속되는 자본</t>
        </is>
      </c>
      <c r="L99" t="inlineStr">
        <is>
          <t>20260814003183</t>
        </is>
      </c>
      <c r="M99" s="4" t="inlineStr">
        <is>
          <t>열기</t>
        </is>
      </c>
    </row>
    <row r="100">
      <c r="A100" t="n">
        <v>99</v>
      </c>
      <c r="B100" t="inlineStr">
        <is>
          <t>GPT</t>
        </is>
      </c>
      <c r="C100" t="inlineStr">
        <is>
          <t>이노뎁</t>
        </is>
      </c>
      <c r="D100" t="inlineStr">
        <is>
          <t>303530</t>
        </is>
      </c>
      <c r="E100" t="inlineStr">
        <is>
          <t>2026Q2</t>
        </is>
      </c>
      <c r="F100" t="inlineStr">
        <is>
          <t>영업이익</t>
        </is>
      </c>
      <c r="G100" t="inlineStr">
        <is>
          <t>당기 YTD</t>
        </is>
      </c>
      <c r="H100" s="3" t="n">
        <v>-4250136924</v>
      </c>
      <c r="I100" t="inlineStr">
        <is>
          <t>id</t>
        </is>
      </c>
      <c r="J100" t="inlineStr">
        <is>
          <t>dart_OperatingIncomeLoss</t>
        </is>
      </c>
      <c r="K100" t="inlineStr">
        <is>
          <t>영업이익(손실)</t>
        </is>
      </c>
      <c r="L100" t="inlineStr">
        <is>
          <t>20260814003183</t>
        </is>
      </c>
      <c r="M100" s="4" t="inlineStr">
        <is>
          <t>열기</t>
        </is>
      </c>
    </row>
    <row r="101">
      <c r="A101" s="5" t="n">
        <v>100</v>
      </c>
      <c r="B101" s="5" t="inlineStr">
        <is>
          <t>GPT</t>
        </is>
      </c>
      <c r="C101" s="5" t="inlineStr">
        <is>
          <t>이노뎁</t>
        </is>
      </c>
      <c r="D101" s="5" t="inlineStr">
        <is>
          <t>303530</t>
        </is>
      </c>
      <c r="E101" s="5" t="inlineStr">
        <is>
          <t>2026Q2</t>
        </is>
      </c>
      <c r="F101" s="5" t="inlineStr">
        <is>
          <t>이자부부채</t>
        </is>
      </c>
      <c r="G101" s="5" t="inlineStr">
        <is>
          <t>당기말</t>
        </is>
      </c>
      <c r="H101" s="6" t="n">
        <v>20847824679</v>
      </c>
      <c r="I101" s="5" t="inlineStr">
        <is>
          <t>pattern</t>
        </is>
      </c>
      <c r="J101" s="5" t="inlineStr">
        <is>
          <t>-표준계정코드 미사용- + -표준계정코드 미사용- + -표준계정코드 미사용-</t>
        </is>
      </c>
      <c r="K101" s="5" t="inlineStr">
        <is>
          <t>유동성장기차입금 + 단기차입금 + 장기차입금</t>
        </is>
      </c>
      <c r="L101" s="5" t="inlineStr">
        <is>
          <t>20260814003183</t>
        </is>
      </c>
      <c r="M101" s="7" t="inlineStr">
        <is>
          <t>열기</t>
        </is>
      </c>
      <c r="N101" s="5" t="n"/>
      <c r="O101" s="5" t="n"/>
    </row>
    <row r="102">
      <c r="A102" s="5" t="n">
        <v>101</v>
      </c>
      <c r="B102" s="5" t="inlineStr">
        <is>
          <t>GPT</t>
        </is>
      </c>
      <c r="C102" s="5" t="inlineStr">
        <is>
          <t>이노뎁</t>
        </is>
      </c>
      <c r="D102" s="5" t="inlineStr">
        <is>
          <t>303530</t>
        </is>
      </c>
      <c r="E102" s="5" t="inlineStr">
        <is>
          <t>2026Q2</t>
        </is>
      </c>
      <c r="F102" s="5" t="inlineStr">
        <is>
          <t>단기금융상품</t>
        </is>
      </c>
      <c r="G102" s="5" t="inlineStr">
        <is>
          <t>당기말</t>
        </is>
      </c>
      <c r="H102" s="6" t="n">
        <v>0</v>
      </c>
      <c r="I102" s="5" t="inlineStr">
        <is>
          <t>zero_default</t>
        </is>
      </c>
      <c r="J102" s="5" t="inlineStr"/>
      <c r="K102" s="5" t="inlineStr"/>
      <c r="L102" s="5" t="inlineStr">
        <is>
          <t>20260814003183</t>
        </is>
      </c>
      <c r="M102" s="7" t="inlineStr">
        <is>
          <t>열기</t>
        </is>
      </c>
      <c r="N102" s="5" t="n"/>
      <c r="O102" s="5" t="n"/>
    </row>
    <row r="103">
      <c r="A103" s="5" t="n">
        <v>102</v>
      </c>
      <c r="B103" s="5" t="inlineStr">
        <is>
          <t>GPT</t>
        </is>
      </c>
      <c r="C103" s="5" t="inlineStr">
        <is>
          <t>이노뎁</t>
        </is>
      </c>
      <c r="D103" s="5" t="inlineStr">
        <is>
          <t>303530</t>
        </is>
      </c>
      <c r="E103" s="5" t="inlineStr">
        <is>
          <t>2026Q2</t>
        </is>
      </c>
      <c r="F103" s="5" t="inlineStr">
        <is>
          <t>장기부채</t>
        </is>
      </c>
      <c r="G103" s="5" t="inlineStr">
        <is>
          <t>당기말</t>
        </is>
      </c>
      <c r="H103" s="6" t="n">
        <v>4911734679</v>
      </c>
      <c r="I103" s="5" t="inlineStr">
        <is>
          <t>pattern</t>
        </is>
      </c>
      <c r="J103" s="5" t="inlineStr">
        <is>
          <t>-표준계정코드 미사용-</t>
        </is>
      </c>
      <c r="K103" s="5" t="inlineStr">
        <is>
          <t>장기차입금</t>
        </is>
      </c>
      <c r="L103" s="5" t="inlineStr">
        <is>
          <t>20260814003183</t>
        </is>
      </c>
      <c r="M103" s="7" t="inlineStr">
        <is>
          <t>열기</t>
        </is>
      </c>
      <c r="N103" s="5" t="n"/>
      <c r="O103" s="5" t="n"/>
    </row>
    <row r="104">
      <c r="A104" t="n">
        <v>103</v>
      </c>
      <c r="B104" t="inlineStr">
        <is>
          <t>사용자</t>
        </is>
      </c>
      <c r="C104" t="inlineStr">
        <is>
          <t>아모센스</t>
        </is>
      </c>
      <c r="D104" t="inlineStr">
        <is>
          <t>357580</t>
        </is>
      </c>
      <c r="E104" t="inlineStr">
        <is>
          <t>2026Q2</t>
        </is>
      </c>
      <c r="F104" t="inlineStr">
        <is>
          <t>지배주주순이익</t>
        </is>
      </c>
      <c r="G104" t="inlineStr">
        <is>
          <t>당기 YTD</t>
        </is>
      </c>
      <c r="H104" s="3" t="n">
        <v>-1424637813</v>
      </c>
      <c r="I104" t="inlineStr">
        <is>
          <t>id</t>
        </is>
      </c>
      <c r="J104" t="inlineStr">
        <is>
          <t>ifrs-full_ProfitLossAttributableToOwnersOfParent</t>
        </is>
      </c>
      <c r="K104" t="inlineStr">
        <is>
          <t>지배기업 소유주지분</t>
        </is>
      </c>
      <c r="L104" t="inlineStr">
        <is>
          <t>20260814002858</t>
        </is>
      </c>
      <c r="M104" s="4" t="inlineStr">
        <is>
          <t>열기</t>
        </is>
      </c>
    </row>
    <row r="105">
      <c r="A105" t="n">
        <v>104</v>
      </c>
      <c r="B105" t="inlineStr">
        <is>
          <t>사용자</t>
        </is>
      </c>
      <c r="C105" t="inlineStr">
        <is>
          <t>아모센스</t>
        </is>
      </c>
      <c r="D105" t="inlineStr">
        <is>
          <t>357580</t>
        </is>
      </c>
      <c r="E105" t="inlineStr">
        <is>
          <t>2026Q2</t>
        </is>
      </c>
      <c r="F105" t="inlineStr">
        <is>
          <t>지배주주자본</t>
        </is>
      </c>
      <c r="G105" t="inlineStr">
        <is>
          <t>당기말</t>
        </is>
      </c>
      <c r="H105" s="3" t="n">
        <v>46292674945</v>
      </c>
      <c r="I105" t="inlineStr">
        <is>
          <t>id</t>
        </is>
      </c>
      <c r="J105" t="inlineStr">
        <is>
          <t>ifrs-full_EquityAttributableToOwnersOfParent</t>
        </is>
      </c>
      <c r="K105" t="inlineStr">
        <is>
          <t>지배기업의 소유주에게 귀속되는 자본</t>
        </is>
      </c>
      <c r="L105" t="inlineStr">
        <is>
          <t>20260814002858</t>
        </is>
      </c>
      <c r="M105" s="4" t="inlineStr">
        <is>
          <t>열기</t>
        </is>
      </c>
    </row>
    <row r="106">
      <c r="A106" t="n">
        <v>105</v>
      </c>
      <c r="B106" t="inlineStr">
        <is>
          <t>사용자</t>
        </is>
      </c>
      <c r="C106" t="inlineStr">
        <is>
          <t>아모센스</t>
        </is>
      </c>
      <c r="D106" t="inlineStr">
        <is>
          <t>357580</t>
        </is>
      </c>
      <c r="E106" t="inlineStr">
        <is>
          <t>2026Q2</t>
        </is>
      </c>
      <c r="F106" t="inlineStr">
        <is>
          <t>영업이익</t>
        </is>
      </c>
      <c r="G106" t="inlineStr">
        <is>
          <t>당기 YTD</t>
        </is>
      </c>
      <c r="H106" s="3" t="n">
        <v>-887333396</v>
      </c>
      <c r="I106" t="inlineStr">
        <is>
          <t>id</t>
        </is>
      </c>
      <c r="J106" t="inlineStr">
        <is>
          <t>dart_OperatingIncomeLoss</t>
        </is>
      </c>
      <c r="K106" t="inlineStr">
        <is>
          <t>영업이익(손실)</t>
        </is>
      </c>
      <c r="L106" t="inlineStr">
        <is>
          <t>20260814002858</t>
        </is>
      </c>
      <c r="M106" s="4" t="inlineStr">
        <is>
          <t>열기</t>
        </is>
      </c>
    </row>
    <row r="107">
      <c r="A107" t="n">
        <v>106</v>
      </c>
      <c r="B107" t="inlineStr">
        <is>
          <t>사용자</t>
        </is>
      </c>
      <c r="C107" t="inlineStr">
        <is>
          <t>아모센스</t>
        </is>
      </c>
      <c r="D107" t="inlineStr">
        <is>
          <t>357580</t>
        </is>
      </c>
      <c r="E107" t="inlineStr">
        <is>
          <t>2026Q2</t>
        </is>
      </c>
      <c r="F107" t="inlineStr">
        <is>
          <t>이자부부채</t>
        </is>
      </c>
      <c r="G107" t="inlineStr">
        <is>
          <t>당기말</t>
        </is>
      </c>
      <c r="H107" s="3" t="n">
        <v>55799728344</v>
      </c>
      <c r="I107" t="inlineStr">
        <is>
          <t>id</t>
        </is>
      </c>
      <c r="J107" t="inlineStr">
        <is>
          <t>ifrs-full_CurrentLeaseLiabilities + ifrs-full_CurrentPortionOfLongtermBorrowings + ifrs-full_ShorttermBorrowings + ifrs-full_NoncurrentLeaseLiabilities + ifrs-full_NoncurrentPortionOfNoncurrentLoansReceived</t>
        </is>
      </c>
      <c r="K107" t="inlineStr">
        <is>
          <t>유동 리스부채 + 비유동차입금의 유동성 대체 부분 + 유동 차입금 + 비유동 리스부채 + 장기차입금</t>
        </is>
      </c>
      <c r="L107" t="inlineStr">
        <is>
          <t>20260814002858</t>
        </is>
      </c>
      <c r="M107" s="4" t="inlineStr">
        <is>
          <t>열기</t>
        </is>
      </c>
    </row>
    <row r="108">
      <c r="A108" s="5" t="n">
        <v>107</v>
      </c>
      <c r="B108" s="5" t="inlineStr">
        <is>
          <t>사용자</t>
        </is>
      </c>
      <c r="C108" s="5" t="inlineStr">
        <is>
          <t>아모센스</t>
        </is>
      </c>
      <c r="D108" s="5" t="inlineStr">
        <is>
          <t>357580</t>
        </is>
      </c>
      <c r="E108" s="5" t="inlineStr">
        <is>
          <t>2026Q2</t>
        </is>
      </c>
      <c r="F108" s="5" t="inlineStr">
        <is>
          <t>단기금융상품</t>
        </is>
      </c>
      <c r="G108" s="5" t="inlineStr">
        <is>
          <t>당기말</t>
        </is>
      </c>
      <c r="H108" s="6" t="n">
        <v>0</v>
      </c>
      <c r="I108" s="5" t="inlineStr">
        <is>
          <t>zero_default</t>
        </is>
      </c>
      <c r="J108" s="5" t="inlineStr"/>
      <c r="K108" s="5" t="inlineStr"/>
      <c r="L108" s="5" t="inlineStr">
        <is>
          <t>20260814002858</t>
        </is>
      </c>
      <c r="M108" s="7" t="inlineStr">
        <is>
          <t>열기</t>
        </is>
      </c>
      <c r="N108" s="5" t="n"/>
      <c r="O108" s="5" t="n"/>
    </row>
    <row r="109">
      <c r="A109" t="n">
        <v>108</v>
      </c>
      <c r="B109" t="inlineStr">
        <is>
          <t>GPT</t>
        </is>
      </c>
      <c r="C109" t="inlineStr">
        <is>
          <t>삼화네트웍스</t>
        </is>
      </c>
      <c r="D109" t="inlineStr">
        <is>
          <t>046390</t>
        </is>
      </c>
      <c r="E109" t="inlineStr">
        <is>
          <t>2026Q2</t>
        </is>
      </c>
      <c r="F109" t="inlineStr">
        <is>
          <t>지배주주순이익</t>
        </is>
      </c>
      <c r="G109" t="inlineStr">
        <is>
          <t>당기 YTD</t>
        </is>
      </c>
      <c r="H109" s="3" t="n">
        <v>-2497579973</v>
      </c>
      <c r="I109" t="inlineStr">
        <is>
          <t>id</t>
        </is>
      </c>
      <c r="J109" t="inlineStr">
        <is>
          <t>ifrs-full_ProfitLossAttributableToOwnersOfParent</t>
        </is>
      </c>
      <c r="K109" t="inlineStr">
        <is>
          <t>지배기업의 소유주에게 귀속되는 당기순이익(손실)</t>
        </is>
      </c>
      <c r="L109" t="inlineStr">
        <is>
          <t>20260814000691</t>
        </is>
      </c>
      <c r="M109" s="4" t="inlineStr">
        <is>
          <t>열기</t>
        </is>
      </c>
    </row>
    <row r="110">
      <c r="A110" t="n">
        <v>109</v>
      </c>
      <c r="B110" t="inlineStr">
        <is>
          <t>GPT</t>
        </is>
      </c>
      <c r="C110" t="inlineStr">
        <is>
          <t>삼화네트웍스</t>
        </is>
      </c>
      <c r="D110" t="inlineStr">
        <is>
          <t>046390</t>
        </is>
      </c>
      <c r="E110" t="inlineStr">
        <is>
          <t>2026Q2</t>
        </is>
      </c>
      <c r="F110" t="inlineStr">
        <is>
          <t>지배주주자본</t>
        </is>
      </c>
      <c r="G110" t="inlineStr">
        <is>
          <t>당기말</t>
        </is>
      </c>
      <c r="H110" s="3" t="n">
        <v>55388608224</v>
      </c>
      <c r="I110" t="inlineStr">
        <is>
          <t>id</t>
        </is>
      </c>
      <c r="J110" t="inlineStr">
        <is>
          <t>ifrs-full_EquityAttributableToOwnersOfParent</t>
        </is>
      </c>
      <c r="K110" t="inlineStr">
        <is>
          <t>지배기업의 소유주에게 귀속되는 자본</t>
        </is>
      </c>
      <c r="L110" t="inlineStr">
        <is>
          <t>20260814000691</t>
        </is>
      </c>
      <c r="M110" s="4" t="inlineStr">
        <is>
          <t>열기</t>
        </is>
      </c>
    </row>
    <row r="111">
      <c r="A111" t="n">
        <v>110</v>
      </c>
      <c r="B111" t="inlineStr">
        <is>
          <t>GPT</t>
        </is>
      </c>
      <c r="C111" t="inlineStr">
        <is>
          <t>삼화네트웍스</t>
        </is>
      </c>
      <c r="D111" t="inlineStr">
        <is>
          <t>046390</t>
        </is>
      </c>
      <c r="E111" t="inlineStr">
        <is>
          <t>2026Q2</t>
        </is>
      </c>
      <c r="F111" t="inlineStr">
        <is>
          <t>영업이익</t>
        </is>
      </c>
      <c r="G111" t="inlineStr">
        <is>
          <t>당기 YTD</t>
        </is>
      </c>
      <c r="H111" s="3" t="n">
        <v>-2731978875</v>
      </c>
      <c r="I111" t="inlineStr">
        <is>
          <t>id</t>
        </is>
      </c>
      <c r="J111" t="inlineStr">
        <is>
          <t>dart_OperatingIncomeLoss</t>
        </is>
      </c>
      <c r="K111" t="inlineStr">
        <is>
          <t>영업이익(손실)</t>
        </is>
      </c>
      <c r="L111" t="inlineStr">
        <is>
          <t>20260814000691</t>
        </is>
      </c>
      <c r="M111" s="4" t="inlineStr">
        <is>
          <t>열기</t>
        </is>
      </c>
    </row>
    <row r="112">
      <c r="A112" t="n">
        <v>111</v>
      </c>
      <c r="B112" t="inlineStr">
        <is>
          <t>GPT</t>
        </is>
      </c>
      <c r="C112" t="inlineStr">
        <is>
          <t>삼화네트웍스</t>
        </is>
      </c>
      <c r="D112" t="inlineStr">
        <is>
          <t>046390</t>
        </is>
      </c>
      <c r="E112" t="inlineStr">
        <is>
          <t>2026Q2</t>
        </is>
      </c>
      <c r="F112" t="inlineStr">
        <is>
          <t>이자부부채</t>
        </is>
      </c>
      <c r="G112" t="inlineStr">
        <is>
          <t>당기말</t>
        </is>
      </c>
      <c r="H112" s="3" t="n">
        <v>670998290</v>
      </c>
      <c r="I112" t="inlineStr">
        <is>
          <t>id</t>
        </is>
      </c>
      <c r="J112" t="inlineStr">
        <is>
          <t>ifrs-full_CurrentLeaseLiabilities + ifrs-full_CurrentPortionOfLongtermBorrowings + ifrs-full_ShorttermBorrowings + ifrs-full_NoncurrentLeaseLiabilities</t>
        </is>
      </c>
      <c r="K112" t="inlineStr">
        <is>
          <t>유동 리스부채 + 비유동차입금(사채 포함)의 유동성 대체 부분 + 유동 차입금(사채 포함) + 리스부채</t>
        </is>
      </c>
      <c r="L112" t="inlineStr">
        <is>
          <t>20260814000691</t>
        </is>
      </c>
      <c r="M112" s="4" t="inlineStr">
        <is>
          <t>열기</t>
        </is>
      </c>
    </row>
    <row r="113">
      <c r="A113" s="5" t="n">
        <v>112</v>
      </c>
      <c r="B113" s="5" t="inlineStr">
        <is>
          <t>GPT</t>
        </is>
      </c>
      <c r="C113" s="5" t="inlineStr">
        <is>
          <t>삼화네트웍스</t>
        </is>
      </c>
      <c r="D113" s="5" t="inlineStr">
        <is>
          <t>046390</t>
        </is>
      </c>
      <c r="E113" s="5" t="inlineStr">
        <is>
          <t>2026Q2</t>
        </is>
      </c>
      <c r="F113" s="5" t="inlineStr">
        <is>
          <t>단기금융상품</t>
        </is>
      </c>
      <c r="G113" s="5" t="inlineStr">
        <is>
          <t>당기말</t>
        </is>
      </c>
      <c r="H113" s="6" t="n">
        <v>0</v>
      </c>
      <c r="I113" s="5" t="inlineStr">
        <is>
          <t>zero_default</t>
        </is>
      </c>
      <c r="J113" s="5" t="inlineStr"/>
      <c r="K113" s="5" t="inlineStr"/>
      <c r="L113" s="5" t="inlineStr">
        <is>
          <t>20260814000691</t>
        </is>
      </c>
      <c r="M113" s="7" t="inlineStr">
        <is>
          <t>열기</t>
        </is>
      </c>
      <c r="N113" s="5" t="n"/>
      <c r="O113" s="5" t="n"/>
    </row>
    <row r="114">
      <c r="A114" s="5" t="n">
        <v>113</v>
      </c>
      <c r="B114" s="5" t="inlineStr">
        <is>
          <t>GPT</t>
        </is>
      </c>
      <c r="C114" s="5" t="inlineStr">
        <is>
          <t>삼화네트웍스</t>
        </is>
      </c>
      <c r="D114" s="5" t="inlineStr">
        <is>
          <t>046390</t>
        </is>
      </c>
      <c r="E114" s="5" t="inlineStr">
        <is>
          <t>2026Q2</t>
        </is>
      </c>
      <c r="F114" s="5" t="inlineStr">
        <is>
          <t>장기부채</t>
        </is>
      </c>
      <c r="G114" s="5" t="inlineStr">
        <is>
          <t>당기말</t>
        </is>
      </c>
      <c r="H114" s="6" t="n">
        <v>0</v>
      </c>
      <c r="I114" s="5" t="inlineStr">
        <is>
          <t>zero_default</t>
        </is>
      </c>
      <c r="J114" s="5" t="inlineStr"/>
      <c r="K114" s="5" t="inlineStr"/>
      <c r="L114" s="5" t="inlineStr">
        <is>
          <t>20260814000691</t>
        </is>
      </c>
      <c r="M114" s="7" t="inlineStr">
        <is>
          <t>열기</t>
        </is>
      </c>
      <c r="N114" s="5" t="n"/>
      <c r="O114" s="5" t="n"/>
    </row>
    <row r="115">
      <c r="A115" s="5" t="n">
        <v>114</v>
      </c>
      <c r="B115" s="5" t="inlineStr">
        <is>
          <t>사용자</t>
        </is>
      </c>
      <c r="C115" s="5" t="inlineStr">
        <is>
          <t>에코프로에이치엔</t>
        </is>
      </c>
      <c r="D115" s="5" t="inlineStr">
        <is>
          <t>383310</t>
        </is>
      </c>
      <c r="E115" s="5" t="inlineStr">
        <is>
          <t>2026Q2</t>
        </is>
      </c>
      <c r="F115" s="5" t="inlineStr">
        <is>
          <t>지배주주순이익</t>
        </is>
      </c>
      <c r="G115" s="5" t="inlineStr">
        <is>
          <t>당기 YTD</t>
        </is>
      </c>
      <c r="H115" s="6" t="n">
        <v>9593627586</v>
      </c>
      <c r="I115" s="5" t="inlineStr">
        <is>
          <t>no_nci</t>
        </is>
      </c>
      <c r="J115" s="5" t="inlineStr">
        <is>
          <t>ifrs-full_ProfitLoss</t>
        </is>
      </c>
      <c r="K115" s="5" t="inlineStr">
        <is>
          <t>반기순이익</t>
        </is>
      </c>
      <c r="L115" s="5" t="inlineStr">
        <is>
          <t>20260814001912</t>
        </is>
      </c>
      <c r="M115" s="7" t="inlineStr">
        <is>
          <t>열기</t>
        </is>
      </c>
      <c r="N115" s="5" t="n"/>
      <c r="O115" s="5" t="n"/>
    </row>
    <row r="116">
      <c r="A116" t="n">
        <v>115</v>
      </c>
      <c r="B116" t="inlineStr">
        <is>
          <t>사용자</t>
        </is>
      </c>
      <c r="C116" t="inlineStr">
        <is>
          <t>에코프로에이치엔</t>
        </is>
      </c>
      <c r="D116" t="inlineStr">
        <is>
          <t>383310</t>
        </is>
      </c>
      <c r="E116" t="inlineStr">
        <is>
          <t>2026Q2</t>
        </is>
      </c>
      <c r="F116" t="inlineStr">
        <is>
          <t>지배주주자본</t>
        </is>
      </c>
      <c r="G116" t="inlineStr">
        <is>
          <t>당기말</t>
        </is>
      </c>
      <c r="H116" s="3" t="n">
        <v>310226994846</v>
      </c>
      <c r="I116" t="inlineStr">
        <is>
          <t>id</t>
        </is>
      </c>
      <c r="J116" t="inlineStr">
        <is>
          <t>ifrs-full_EquityAttributableToOwnersOfParent</t>
        </is>
      </c>
      <c r="K116" t="inlineStr">
        <is>
          <t>지배기업의 소유지분</t>
        </is>
      </c>
      <c r="L116" t="inlineStr">
        <is>
          <t>20260814001912</t>
        </is>
      </c>
      <c r="M116" s="4" t="inlineStr">
        <is>
          <t>열기</t>
        </is>
      </c>
    </row>
    <row r="117">
      <c r="A117" t="n">
        <v>116</v>
      </c>
      <c r="B117" t="inlineStr">
        <is>
          <t>사용자</t>
        </is>
      </c>
      <c r="C117" t="inlineStr">
        <is>
          <t>에코프로에이치엔</t>
        </is>
      </c>
      <c r="D117" t="inlineStr">
        <is>
          <t>383310</t>
        </is>
      </c>
      <c r="E117" t="inlineStr">
        <is>
          <t>2026Q2</t>
        </is>
      </c>
      <c r="F117" t="inlineStr">
        <is>
          <t>영업이익</t>
        </is>
      </c>
      <c r="G117" t="inlineStr">
        <is>
          <t>당기 YTD</t>
        </is>
      </c>
      <c r="H117" s="3" t="n">
        <v>10791149966</v>
      </c>
      <c r="I117" t="inlineStr">
        <is>
          <t>id</t>
        </is>
      </c>
      <c r="J117" t="inlineStr">
        <is>
          <t>dart_OperatingIncomeLoss</t>
        </is>
      </c>
      <c r="K117" t="inlineStr">
        <is>
          <t>영업이익</t>
        </is>
      </c>
      <c r="L117" t="inlineStr">
        <is>
          <t>20260814001912</t>
        </is>
      </c>
      <c r="M117" s="4" t="inlineStr">
        <is>
          <t>열기</t>
        </is>
      </c>
    </row>
    <row r="118">
      <c r="A118" t="n">
        <v>117</v>
      </c>
      <c r="B118" t="inlineStr">
        <is>
          <t>사용자</t>
        </is>
      </c>
      <c r="C118" t="inlineStr">
        <is>
          <t>에코프로에이치엔</t>
        </is>
      </c>
      <c r="D118" t="inlineStr">
        <is>
          <t>383310</t>
        </is>
      </c>
      <c r="E118" t="inlineStr">
        <is>
          <t>2026Q2</t>
        </is>
      </c>
      <c r="F118" t="inlineStr">
        <is>
          <t>이자부부채</t>
        </is>
      </c>
      <c r="G118" t="inlineStr">
        <is>
          <t>당기말</t>
        </is>
      </c>
      <c r="H118" s="3" t="n">
        <v>109639647496</v>
      </c>
      <c r="I118" t="inlineStr">
        <is>
          <t>id</t>
        </is>
      </c>
      <c r="J118" t="inlineStr">
        <is>
          <t>ifrs-full_CurrentBorrowingsAndCurrentPortionOfNoncurrentBorrowings + ifrs-full_CurrentLeaseLiabilities + ifrs-full_LongtermBorrowings + ifrs-full_NoncurrentLeaseLiabilities</t>
        </is>
      </c>
      <c r="K118" t="inlineStr">
        <is>
          <t>단기차입금 + 유동리스부채 + 장기차입금 + 비유동리스부채</t>
        </is>
      </c>
      <c r="L118" t="inlineStr">
        <is>
          <t>20260814001912</t>
        </is>
      </c>
      <c r="M118" s="4" t="inlineStr">
        <is>
          <t>열기</t>
        </is>
      </c>
    </row>
    <row r="119">
      <c r="A119" t="n">
        <v>118</v>
      </c>
      <c r="B119" t="inlineStr">
        <is>
          <t>GPT</t>
        </is>
      </c>
      <c r="C119" t="inlineStr">
        <is>
          <t>다산네트웍스</t>
        </is>
      </c>
      <c r="D119" t="inlineStr">
        <is>
          <t>039560</t>
        </is>
      </c>
      <c r="E119" t="inlineStr">
        <is>
          <t>2026Q2</t>
        </is>
      </c>
      <c r="F119" t="inlineStr">
        <is>
          <t>지배주주순이익</t>
        </is>
      </c>
      <c r="G119" t="inlineStr">
        <is>
          <t>당기 YTD</t>
        </is>
      </c>
      <c r="H119" s="3" t="n">
        <v>9185573010</v>
      </c>
      <c r="I119" t="inlineStr">
        <is>
          <t>id</t>
        </is>
      </c>
      <c r="J119" t="inlineStr">
        <is>
          <t>ifrs-full_ProfitLossAttributableToOwnersOfParent</t>
        </is>
      </c>
      <c r="K119" t="inlineStr">
        <is>
          <t>지배기업의 소유주지분</t>
        </is>
      </c>
      <c r="L119" t="inlineStr">
        <is>
          <t>20260814002813</t>
        </is>
      </c>
      <c r="M119" s="4" t="inlineStr">
        <is>
          <t>열기</t>
        </is>
      </c>
    </row>
    <row r="120">
      <c r="A120" t="n">
        <v>119</v>
      </c>
      <c r="B120" t="inlineStr">
        <is>
          <t>GPT</t>
        </is>
      </c>
      <c r="C120" t="inlineStr">
        <is>
          <t>다산네트웍스</t>
        </is>
      </c>
      <c r="D120" t="inlineStr">
        <is>
          <t>039560</t>
        </is>
      </c>
      <c r="E120" t="inlineStr">
        <is>
          <t>2026Q2</t>
        </is>
      </c>
      <c r="F120" t="inlineStr">
        <is>
          <t>지배주주자본</t>
        </is>
      </c>
      <c r="G120" t="inlineStr">
        <is>
          <t>당기말</t>
        </is>
      </c>
      <c r="H120" s="3" t="n">
        <v>279143131655</v>
      </c>
      <c r="I120" t="inlineStr">
        <is>
          <t>id</t>
        </is>
      </c>
      <c r="J120" t="inlineStr">
        <is>
          <t>ifrs-full_EquityAttributableToOwnersOfParent</t>
        </is>
      </c>
      <c r="K120" t="inlineStr">
        <is>
          <t>지배기업의 소유주에게 귀속되는 지분</t>
        </is>
      </c>
      <c r="L120" t="inlineStr">
        <is>
          <t>20260814002813</t>
        </is>
      </c>
      <c r="M120" s="4" t="inlineStr">
        <is>
          <t>열기</t>
        </is>
      </c>
    </row>
    <row r="121">
      <c r="A121" t="n">
        <v>120</v>
      </c>
      <c r="B121" t="inlineStr">
        <is>
          <t>GPT</t>
        </is>
      </c>
      <c r="C121" t="inlineStr">
        <is>
          <t>다산네트웍스</t>
        </is>
      </c>
      <c r="D121" t="inlineStr">
        <is>
          <t>039560</t>
        </is>
      </c>
      <c r="E121" t="inlineStr">
        <is>
          <t>2026Q2</t>
        </is>
      </c>
      <c r="F121" t="inlineStr">
        <is>
          <t>영업이익</t>
        </is>
      </c>
      <c r="G121" t="inlineStr">
        <is>
          <t>당기 YTD</t>
        </is>
      </c>
      <c r="H121" s="3" t="n">
        <v>25277829522</v>
      </c>
      <c r="I121" t="inlineStr">
        <is>
          <t>id</t>
        </is>
      </c>
      <c r="J121" t="inlineStr">
        <is>
          <t>dart_OperatingIncomeLoss</t>
        </is>
      </c>
      <c r="K121" t="inlineStr">
        <is>
          <t>영업이익(손실)</t>
        </is>
      </c>
      <c r="L121" t="inlineStr">
        <is>
          <t>20260814002813</t>
        </is>
      </c>
      <c r="M121" s="4" t="inlineStr">
        <is>
          <t>열기</t>
        </is>
      </c>
    </row>
    <row r="122">
      <c r="A122" t="n">
        <v>121</v>
      </c>
      <c r="B122" t="inlineStr">
        <is>
          <t>GPT</t>
        </is>
      </c>
      <c r="C122" t="inlineStr">
        <is>
          <t>다산네트웍스</t>
        </is>
      </c>
      <c r="D122" t="inlineStr">
        <is>
          <t>039560</t>
        </is>
      </c>
      <c r="E122" t="inlineStr">
        <is>
          <t>2026Q2</t>
        </is>
      </c>
      <c r="F122" t="inlineStr">
        <is>
          <t>이자부부채</t>
        </is>
      </c>
      <c r="G122" t="inlineStr">
        <is>
          <t>당기말</t>
        </is>
      </c>
      <c r="H122" s="3" t="n">
        <v>132656004556</v>
      </c>
      <c r="I122" t="inlineStr">
        <is>
          <t>id</t>
        </is>
      </c>
      <c r="J122" t="inlineStr">
        <is>
          <t>dart_CurrentLoansReceived + dart_CurrentPortionOfBondWithWarrant + ifrs-full_CurrentLeaseLiabilities + ifrs-full_NoncurrentLeaseLiabilities + ifrs-full_NoncurrentPortionOfNoncurrentLoansReceived</t>
        </is>
      </c>
      <c r="K122" t="inlineStr">
        <is>
          <t>단기차입금 + 유동성신주인수권부사채 + 유동 리스부채 + 비유동 리스부채 + 장기차입금</t>
        </is>
      </c>
      <c r="L122" t="inlineStr">
        <is>
          <t>20260814002813</t>
        </is>
      </c>
      <c r="M122" s="4" t="inlineStr">
        <is>
          <t>열기</t>
        </is>
      </c>
    </row>
    <row r="123">
      <c r="A123" s="5" t="n">
        <v>122</v>
      </c>
      <c r="B123" s="5" t="inlineStr">
        <is>
          <t>사용자</t>
        </is>
      </c>
      <c r="C123" s="5" t="inlineStr">
        <is>
          <t>인바이오</t>
        </is>
      </c>
      <c r="D123" s="5" t="inlineStr">
        <is>
          <t>352940</t>
        </is>
      </c>
      <c r="E123" s="5" t="inlineStr">
        <is>
          <t>2026Q2</t>
        </is>
      </c>
      <c r="F123" s="5" t="inlineStr">
        <is>
          <t>지배주주순이익</t>
        </is>
      </c>
      <c r="G123" s="5" t="inlineStr">
        <is>
          <t>당기 YTD</t>
        </is>
      </c>
      <c r="H123" s="6" t="n">
        <v>2165012133</v>
      </c>
      <c r="I123" s="5" t="inlineStr">
        <is>
          <t>separate_only</t>
        </is>
      </c>
      <c r="J123" s="5" t="inlineStr">
        <is>
          <t>ifrs-full_ProfitLoss</t>
        </is>
      </c>
      <c r="K123" s="5" t="inlineStr">
        <is>
          <t>당기순이익(손실)</t>
        </is>
      </c>
      <c r="L123" s="5" t="inlineStr">
        <is>
          <t>20260813000903</t>
        </is>
      </c>
      <c r="M123" s="7" t="inlineStr">
        <is>
          <t>열기</t>
        </is>
      </c>
      <c r="N123" s="5" t="n"/>
      <c r="O123" s="5" t="n"/>
    </row>
    <row r="124">
      <c r="A124" s="5" t="n">
        <v>123</v>
      </c>
      <c r="B124" s="5" t="inlineStr">
        <is>
          <t>사용자</t>
        </is>
      </c>
      <c r="C124" s="5" t="inlineStr">
        <is>
          <t>인바이오</t>
        </is>
      </c>
      <c r="D124" s="5" t="inlineStr">
        <is>
          <t>352940</t>
        </is>
      </c>
      <c r="E124" s="5" t="inlineStr">
        <is>
          <t>2026Q2</t>
        </is>
      </c>
      <c r="F124" s="5" t="inlineStr">
        <is>
          <t>지배주주자본</t>
        </is>
      </c>
      <c r="G124" s="5" t="inlineStr">
        <is>
          <t>당기말</t>
        </is>
      </c>
      <c r="H124" s="6" t="n">
        <v>44522721590</v>
      </c>
      <c r="I124" s="5" t="inlineStr">
        <is>
          <t>separate_only</t>
        </is>
      </c>
      <c r="J124" s="5" t="inlineStr">
        <is>
          <t>ifrs-full_Equity</t>
        </is>
      </c>
      <c r="K124" s="5" t="inlineStr">
        <is>
          <t>자본총계</t>
        </is>
      </c>
      <c r="L124" s="5" t="inlineStr">
        <is>
          <t>20260813000903</t>
        </is>
      </c>
      <c r="M124" s="7" t="inlineStr">
        <is>
          <t>열기</t>
        </is>
      </c>
      <c r="N124" s="5" t="n"/>
      <c r="O124" s="5" t="n"/>
    </row>
    <row r="125">
      <c r="A125" t="n">
        <v>124</v>
      </c>
      <c r="B125" t="inlineStr">
        <is>
          <t>사용자</t>
        </is>
      </c>
      <c r="C125" t="inlineStr">
        <is>
          <t>인바이오</t>
        </is>
      </c>
      <c r="D125" t="inlineStr">
        <is>
          <t>352940</t>
        </is>
      </c>
      <c r="E125" t="inlineStr">
        <is>
          <t>2026Q2</t>
        </is>
      </c>
      <c r="F125" t="inlineStr">
        <is>
          <t>영업이익</t>
        </is>
      </c>
      <c r="G125" t="inlineStr">
        <is>
          <t>당기 YTD</t>
        </is>
      </c>
      <c r="H125" s="3" t="n">
        <v>3301178415</v>
      </c>
      <c r="I125" t="inlineStr">
        <is>
          <t>id</t>
        </is>
      </c>
      <c r="J125" t="inlineStr">
        <is>
          <t>dart_OperatingIncomeLoss</t>
        </is>
      </c>
      <c r="K125" t="inlineStr">
        <is>
          <t>V. 영업손익</t>
        </is>
      </c>
      <c r="L125" t="inlineStr">
        <is>
          <t>20260813000903</t>
        </is>
      </c>
      <c r="M125" s="4" t="inlineStr">
        <is>
          <t>열기</t>
        </is>
      </c>
    </row>
    <row r="126">
      <c r="A126" t="n">
        <v>125</v>
      </c>
      <c r="B126" t="inlineStr">
        <is>
          <t>사용자</t>
        </is>
      </c>
      <c r="C126" t="inlineStr">
        <is>
          <t>인바이오</t>
        </is>
      </c>
      <c r="D126" t="inlineStr">
        <is>
          <t>352940</t>
        </is>
      </c>
      <c r="E126" t="inlineStr">
        <is>
          <t>2026Q2</t>
        </is>
      </c>
      <c r="F126" t="inlineStr">
        <is>
          <t>이자부부채</t>
        </is>
      </c>
      <c r="G126" t="inlineStr">
        <is>
          <t>당기말</t>
        </is>
      </c>
      <c r="H126" s="3" t="n">
        <v>24471546790</v>
      </c>
      <c r="I126" t="inlineStr">
        <is>
          <t>id</t>
        </is>
      </c>
      <c r="J126" t="inlineStr">
        <is>
          <t>ifrs-full_CurrentLeaseLiabilities + ifrs-full_CurrentPortionOfLongtermBorrowings + ifrs-full_ShorttermBorrowings + dart_LongTermBorrowingsGross + ifrs-full_NoncurrentLeaseLiabilities</t>
        </is>
      </c>
      <c r="K126" t="inlineStr">
        <is>
          <t>리스부채(유동) + 유동성장기부채 + 단기차입금 + 장기차입금 + 리스부채(비유동)</t>
        </is>
      </c>
      <c r="L126" t="inlineStr">
        <is>
          <t>20260813000903</t>
        </is>
      </c>
      <c r="M126" s="4" t="inlineStr">
        <is>
          <t>열기</t>
        </is>
      </c>
    </row>
    <row r="127">
      <c r="A127" s="5" t="n">
        <v>126</v>
      </c>
      <c r="B127" s="5" t="inlineStr">
        <is>
          <t>사용자</t>
        </is>
      </c>
      <c r="C127" s="5" t="inlineStr">
        <is>
          <t>인바이오</t>
        </is>
      </c>
      <c r="D127" s="5" t="inlineStr">
        <is>
          <t>352940</t>
        </is>
      </c>
      <c r="E127" s="5" t="inlineStr">
        <is>
          <t>2026Q2</t>
        </is>
      </c>
      <c r="F127" s="5" t="inlineStr">
        <is>
          <t>단기금융상품</t>
        </is>
      </c>
      <c r="G127" s="5" t="inlineStr">
        <is>
          <t>당기말</t>
        </is>
      </c>
      <c r="H127" s="6" t="n">
        <v>0</v>
      </c>
      <c r="I127" s="5" t="inlineStr">
        <is>
          <t>zero_default</t>
        </is>
      </c>
      <c r="J127" s="5" t="inlineStr"/>
      <c r="K127" s="5" t="inlineStr"/>
      <c r="L127" s="5" t="inlineStr">
        <is>
          <t>20260813000903</t>
        </is>
      </c>
      <c r="M127" s="7" t="inlineStr">
        <is>
          <t>열기</t>
        </is>
      </c>
      <c r="N127" s="5" t="n"/>
      <c r="O127" s="5" t="n"/>
    </row>
    <row r="129">
      <c r="C129" t="inlineStr">
        <is>
          <t>노란 행 = 대체 규칙(id 외) 적용 항목. 통과 기준: id 행 오류 0건, 대체 규칙 행은 오류 1건이면 해당 규칙 전수 재검토. 원문을 실제로 열지 못했으면 '미확인'.</t>
        </is>
      </c>
    </row>
  </sheetData>
  <hyperlinks>
    <hyperlink xmlns:r="http://schemas.openxmlformats.org/officeDocument/2006/relationships" ref="M2" r:id="rId1"/>
    <hyperlink xmlns:r="http://schemas.openxmlformats.org/officeDocument/2006/relationships" ref="M3" r:id="rId2"/>
    <hyperlink xmlns:r="http://schemas.openxmlformats.org/officeDocument/2006/relationships" ref="M4" r:id="rId3"/>
    <hyperlink xmlns:r="http://schemas.openxmlformats.org/officeDocument/2006/relationships" ref="M5" r:id="rId4"/>
    <hyperlink xmlns:r="http://schemas.openxmlformats.org/officeDocument/2006/relationships" ref="M6" r:id="rId5"/>
    <hyperlink xmlns:r="http://schemas.openxmlformats.org/officeDocument/2006/relationships" ref="M7" r:id="rId6"/>
    <hyperlink xmlns:r="http://schemas.openxmlformats.org/officeDocument/2006/relationships" ref="M8" r:id="rId7"/>
    <hyperlink xmlns:r="http://schemas.openxmlformats.org/officeDocument/2006/relationships" ref="M9" r:id="rId8"/>
    <hyperlink xmlns:r="http://schemas.openxmlformats.org/officeDocument/2006/relationships" ref="M10" r:id="rId9"/>
    <hyperlink xmlns:r="http://schemas.openxmlformats.org/officeDocument/2006/relationships" ref="M11" r:id="rId10"/>
    <hyperlink xmlns:r="http://schemas.openxmlformats.org/officeDocument/2006/relationships" ref="M12" r:id="rId11"/>
    <hyperlink xmlns:r="http://schemas.openxmlformats.org/officeDocument/2006/relationships" ref="M13" r:id="rId12"/>
    <hyperlink xmlns:r="http://schemas.openxmlformats.org/officeDocument/2006/relationships" ref="M14" r:id="rId13"/>
    <hyperlink xmlns:r="http://schemas.openxmlformats.org/officeDocument/2006/relationships" ref="M15" r:id="rId14"/>
    <hyperlink xmlns:r="http://schemas.openxmlformats.org/officeDocument/2006/relationships" ref="M16" r:id="rId15"/>
    <hyperlink xmlns:r="http://schemas.openxmlformats.org/officeDocument/2006/relationships" ref="M17" r:id="rId16"/>
    <hyperlink xmlns:r="http://schemas.openxmlformats.org/officeDocument/2006/relationships" ref="M18" r:id="rId17"/>
    <hyperlink xmlns:r="http://schemas.openxmlformats.org/officeDocument/2006/relationships" ref="M19" r:id="rId18"/>
    <hyperlink xmlns:r="http://schemas.openxmlformats.org/officeDocument/2006/relationships" ref="M20" r:id="rId19"/>
    <hyperlink xmlns:r="http://schemas.openxmlformats.org/officeDocument/2006/relationships" ref="M21" r:id="rId20"/>
    <hyperlink xmlns:r="http://schemas.openxmlformats.org/officeDocument/2006/relationships" ref="M22" r:id="rId21"/>
    <hyperlink xmlns:r="http://schemas.openxmlformats.org/officeDocument/2006/relationships" ref="M23" r:id="rId22"/>
    <hyperlink xmlns:r="http://schemas.openxmlformats.org/officeDocument/2006/relationships" ref="M24" r:id="rId23"/>
    <hyperlink xmlns:r="http://schemas.openxmlformats.org/officeDocument/2006/relationships" ref="M25" r:id="rId24"/>
    <hyperlink xmlns:r="http://schemas.openxmlformats.org/officeDocument/2006/relationships" ref="M26" r:id="rId25"/>
    <hyperlink xmlns:r="http://schemas.openxmlformats.org/officeDocument/2006/relationships" ref="M27" r:id="rId26"/>
    <hyperlink xmlns:r="http://schemas.openxmlformats.org/officeDocument/2006/relationships" ref="M28" r:id="rId27"/>
    <hyperlink xmlns:r="http://schemas.openxmlformats.org/officeDocument/2006/relationships" ref="M29" r:id="rId28"/>
    <hyperlink xmlns:r="http://schemas.openxmlformats.org/officeDocument/2006/relationships" ref="M30" r:id="rId29"/>
    <hyperlink xmlns:r="http://schemas.openxmlformats.org/officeDocument/2006/relationships" ref="M31" r:id="rId30"/>
    <hyperlink xmlns:r="http://schemas.openxmlformats.org/officeDocument/2006/relationships" ref="M32" r:id="rId31"/>
    <hyperlink xmlns:r="http://schemas.openxmlformats.org/officeDocument/2006/relationships" ref="M33" r:id="rId32"/>
    <hyperlink xmlns:r="http://schemas.openxmlformats.org/officeDocument/2006/relationships" ref="M34" r:id="rId33"/>
    <hyperlink xmlns:r="http://schemas.openxmlformats.org/officeDocument/2006/relationships" ref="M35" r:id="rId34"/>
    <hyperlink xmlns:r="http://schemas.openxmlformats.org/officeDocument/2006/relationships" ref="M36" r:id="rId35"/>
    <hyperlink xmlns:r="http://schemas.openxmlformats.org/officeDocument/2006/relationships" ref="M37" r:id="rId36"/>
    <hyperlink xmlns:r="http://schemas.openxmlformats.org/officeDocument/2006/relationships" ref="M38" r:id="rId37"/>
    <hyperlink xmlns:r="http://schemas.openxmlformats.org/officeDocument/2006/relationships" ref="M39" r:id="rId38"/>
    <hyperlink xmlns:r="http://schemas.openxmlformats.org/officeDocument/2006/relationships" ref="M40" r:id="rId39"/>
    <hyperlink xmlns:r="http://schemas.openxmlformats.org/officeDocument/2006/relationships" ref="M41" r:id="rId40"/>
    <hyperlink xmlns:r="http://schemas.openxmlformats.org/officeDocument/2006/relationships" ref="M42" r:id="rId41"/>
    <hyperlink xmlns:r="http://schemas.openxmlformats.org/officeDocument/2006/relationships" ref="M43" r:id="rId42"/>
    <hyperlink xmlns:r="http://schemas.openxmlformats.org/officeDocument/2006/relationships" ref="M44" r:id="rId43"/>
    <hyperlink xmlns:r="http://schemas.openxmlformats.org/officeDocument/2006/relationships" ref="M45" r:id="rId44"/>
    <hyperlink xmlns:r="http://schemas.openxmlformats.org/officeDocument/2006/relationships" ref="M46" r:id="rId45"/>
    <hyperlink xmlns:r="http://schemas.openxmlformats.org/officeDocument/2006/relationships" ref="M47" r:id="rId46"/>
    <hyperlink xmlns:r="http://schemas.openxmlformats.org/officeDocument/2006/relationships" ref="M48" r:id="rId47"/>
    <hyperlink xmlns:r="http://schemas.openxmlformats.org/officeDocument/2006/relationships" ref="M49" r:id="rId48"/>
    <hyperlink xmlns:r="http://schemas.openxmlformats.org/officeDocument/2006/relationships" ref="M50" r:id="rId49"/>
    <hyperlink xmlns:r="http://schemas.openxmlformats.org/officeDocument/2006/relationships" ref="M51" r:id="rId50"/>
    <hyperlink xmlns:r="http://schemas.openxmlformats.org/officeDocument/2006/relationships" ref="M52" r:id="rId51"/>
    <hyperlink xmlns:r="http://schemas.openxmlformats.org/officeDocument/2006/relationships" ref="M53" r:id="rId52"/>
    <hyperlink xmlns:r="http://schemas.openxmlformats.org/officeDocument/2006/relationships" ref="M54" r:id="rId53"/>
    <hyperlink xmlns:r="http://schemas.openxmlformats.org/officeDocument/2006/relationships" ref="M55" r:id="rId54"/>
    <hyperlink xmlns:r="http://schemas.openxmlformats.org/officeDocument/2006/relationships" ref="M56" r:id="rId55"/>
    <hyperlink xmlns:r="http://schemas.openxmlformats.org/officeDocument/2006/relationships" ref="M57" r:id="rId56"/>
    <hyperlink xmlns:r="http://schemas.openxmlformats.org/officeDocument/2006/relationships" ref="M58" r:id="rId57"/>
    <hyperlink xmlns:r="http://schemas.openxmlformats.org/officeDocument/2006/relationships" ref="M59" r:id="rId58"/>
    <hyperlink xmlns:r="http://schemas.openxmlformats.org/officeDocument/2006/relationships" ref="M60" r:id="rId59"/>
    <hyperlink xmlns:r="http://schemas.openxmlformats.org/officeDocument/2006/relationships" ref="M61" r:id="rId60"/>
    <hyperlink xmlns:r="http://schemas.openxmlformats.org/officeDocument/2006/relationships" ref="M62" r:id="rId61"/>
    <hyperlink xmlns:r="http://schemas.openxmlformats.org/officeDocument/2006/relationships" ref="M63" r:id="rId62"/>
    <hyperlink xmlns:r="http://schemas.openxmlformats.org/officeDocument/2006/relationships" ref="M64" r:id="rId63"/>
    <hyperlink xmlns:r="http://schemas.openxmlformats.org/officeDocument/2006/relationships" ref="M65" r:id="rId64"/>
    <hyperlink xmlns:r="http://schemas.openxmlformats.org/officeDocument/2006/relationships" ref="M66" r:id="rId65"/>
    <hyperlink xmlns:r="http://schemas.openxmlformats.org/officeDocument/2006/relationships" ref="M67" r:id="rId66"/>
    <hyperlink xmlns:r="http://schemas.openxmlformats.org/officeDocument/2006/relationships" ref="M68" r:id="rId67"/>
    <hyperlink xmlns:r="http://schemas.openxmlformats.org/officeDocument/2006/relationships" ref="M69" r:id="rId68"/>
    <hyperlink xmlns:r="http://schemas.openxmlformats.org/officeDocument/2006/relationships" ref="M70" r:id="rId69"/>
    <hyperlink xmlns:r="http://schemas.openxmlformats.org/officeDocument/2006/relationships" ref="M71" r:id="rId70"/>
    <hyperlink xmlns:r="http://schemas.openxmlformats.org/officeDocument/2006/relationships" ref="M72" r:id="rId71"/>
    <hyperlink xmlns:r="http://schemas.openxmlformats.org/officeDocument/2006/relationships" ref="M73" r:id="rId72"/>
    <hyperlink xmlns:r="http://schemas.openxmlformats.org/officeDocument/2006/relationships" ref="M74" r:id="rId73"/>
    <hyperlink xmlns:r="http://schemas.openxmlformats.org/officeDocument/2006/relationships" ref="M75" r:id="rId74"/>
    <hyperlink xmlns:r="http://schemas.openxmlformats.org/officeDocument/2006/relationships" ref="M76" r:id="rId75"/>
    <hyperlink xmlns:r="http://schemas.openxmlformats.org/officeDocument/2006/relationships" ref="M77" r:id="rId76"/>
    <hyperlink xmlns:r="http://schemas.openxmlformats.org/officeDocument/2006/relationships" ref="M78" r:id="rId77"/>
    <hyperlink xmlns:r="http://schemas.openxmlformats.org/officeDocument/2006/relationships" ref="M79" r:id="rId78"/>
    <hyperlink xmlns:r="http://schemas.openxmlformats.org/officeDocument/2006/relationships" ref="M80" r:id="rId79"/>
    <hyperlink xmlns:r="http://schemas.openxmlformats.org/officeDocument/2006/relationships" ref="M81" r:id="rId80"/>
    <hyperlink xmlns:r="http://schemas.openxmlformats.org/officeDocument/2006/relationships" ref="M82" r:id="rId81"/>
    <hyperlink xmlns:r="http://schemas.openxmlformats.org/officeDocument/2006/relationships" ref="M83" r:id="rId82"/>
    <hyperlink xmlns:r="http://schemas.openxmlformats.org/officeDocument/2006/relationships" ref="M84" r:id="rId83"/>
    <hyperlink xmlns:r="http://schemas.openxmlformats.org/officeDocument/2006/relationships" ref="M85" r:id="rId84"/>
    <hyperlink xmlns:r="http://schemas.openxmlformats.org/officeDocument/2006/relationships" ref="M86" r:id="rId85"/>
    <hyperlink xmlns:r="http://schemas.openxmlformats.org/officeDocument/2006/relationships" ref="M87" r:id="rId86"/>
    <hyperlink xmlns:r="http://schemas.openxmlformats.org/officeDocument/2006/relationships" ref="M88" r:id="rId87"/>
    <hyperlink xmlns:r="http://schemas.openxmlformats.org/officeDocument/2006/relationships" ref="M89" r:id="rId88"/>
    <hyperlink xmlns:r="http://schemas.openxmlformats.org/officeDocument/2006/relationships" ref="M90" r:id="rId89"/>
    <hyperlink xmlns:r="http://schemas.openxmlformats.org/officeDocument/2006/relationships" ref="M91" r:id="rId90"/>
    <hyperlink xmlns:r="http://schemas.openxmlformats.org/officeDocument/2006/relationships" ref="M92" r:id="rId91"/>
    <hyperlink xmlns:r="http://schemas.openxmlformats.org/officeDocument/2006/relationships" ref="M93" r:id="rId92"/>
    <hyperlink xmlns:r="http://schemas.openxmlformats.org/officeDocument/2006/relationships" ref="M94" r:id="rId93"/>
    <hyperlink xmlns:r="http://schemas.openxmlformats.org/officeDocument/2006/relationships" ref="M95" r:id="rId94"/>
    <hyperlink xmlns:r="http://schemas.openxmlformats.org/officeDocument/2006/relationships" ref="M96" r:id="rId95"/>
    <hyperlink xmlns:r="http://schemas.openxmlformats.org/officeDocument/2006/relationships" ref="M97" r:id="rId96"/>
    <hyperlink xmlns:r="http://schemas.openxmlformats.org/officeDocument/2006/relationships" ref="M98" r:id="rId97"/>
    <hyperlink xmlns:r="http://schemas.openxmlformats.org/officeDocument/2006/relationships" ref="M99" r:id="rId98"/>
    <hyperlink xmlns:r="http://schemas.openxmlformats.org/officeDocument/2006/relationships" ref="M100" r:id="rId99"/>
    <hyperlink xmlns:r="http://schemas.openxmlformats.org/officeDocument/2006/relationships" ref="M101" r:id="rId100"/>
    <hyperlink xmlns:r="http://schemas.openxmlformats.org/officeDocument/2006/relationships" ref="M102" r:id="rId101"/>
    <hyperlink xmlns:r="http://schemas.openxmlformats.org/officeDocument/2006/relationships" ref="M103" r:id="rId102"/>
    <hyperlink xmlns:r="http://schemas.openxmlformats.org/officeDocument/2006/relationships" ref="M104" r:id="rId103"/>
    <hyperlink xmlns:r="http://schemas.openxmlformats.org/officeDocument/2006/relationships" ref="M105" r:id="rId104"/>
    <hyperlink xmlns:r="http://schemas.openxmlformats.org/officeDocument/2006/relationships" ref="M106" r:id="rId105"/>
    <hyperlink xmlns:r="http://schemas.openxmlformats.org/officeDocument/2006/relationships" ref="M107" r:id="rId106"/>
    <hyperlink xmlns:r="http://schemas.openxmlformats.org/officeDocument/2006/relationships" ref="M108" r:id="rId107"/>
    <hyperlink xmlns:r="http://schemas.openxmlformats.org/officeDocument/2006/relationships" ref="M109" r:id="rId108"/>
    <hyperlink xmlns:r="http://schemas.openxmlformats.org/officeDocument/2006/relationships" ref="M110" r:id="rId109"/>
    <hyperlink xmlns:r="http://schemas.openxmlformats.org/officeDocument/2006/relationships" ref="M111" r:id="rId110"/>
    <hyperlink xmlns:r="http://schemas.openxmlformats.org/officeDocument/2006/relationships" ref="M112" r:id="rId111"/>
    <hyperlink xmlns:r="http://schemas.openxmlformats.org/officeDocument/2006/relationships" ref="M113" r:id="rId112"/>
    <hyperlink xmlns:r="http://schemas.openxmlformats.org/officeDocument/2006/relationships" ref="M114" r:id="rId113"/>
    <hyperlink xmlns:r="http://schemas.openxmlformats.org/officeDocument/2006/relationships" ref="M115" r:id="rId114"/>
    <hyperlink xmlns:r="http://schemas.openxmlformats.org/officeDocument/2006/relationships" ref="M116" r:id="rId115"/>
    <hyperlink xmlns:r="http://schemas.openxmlformats.org/officeDocument/2006/relationships" ref="M117" r:id="rId116"/>
    <hyperlink xmlns:r="http://schemas.openxmlformats.org/officeDocument/2006/relationships" ref="M118" r:id="rId117"/>
    <hyperlink xmlns:r="http://schemas.openxmlformats.org/officeDocument/2006/relationships" ref="M119" r:id="rId118"/>
    <hyperlink xmlns:r="http://schemas.openxmlformats.org/officeDocument/2006/relationships" ref="M120" r:id="rId119"/>
    <hyperlink xmlns:r="http://schemas.openxmlformats.org/officeDocument/2006/relationships" ref="M121" r:id="rId120"/>
    <hyperlink xmlns:r="http://schemas.openxmlformats.org/officeDocument/2006/relationships" ref="M122" r:id="rId121"/>
    <hyperlink xmlns:r="http://schemas.openxmlformats.org/officeDocument/2006/relationships" ref="M123" r:id="rId122"/>
    <hyperlink xmlns:r="http://schemas.openxmlformats.org/officeDocument/2006/relationships" ref="M124" r:id="rId123"/>
    <hyperlink xmlns:r="http://schemas.openxmlformats.org/officeDocument/2006/relationships" ref="M125" r:id="rId124"/>
    <hyperlink xmlns:r="http://schemas.openxmlformats.org/officeDocument/2006/relationships" ref="M126" r:id="rId125"/>
    <hyperlink xmlns:r="http://schemas.openxmlformats.org/officeDocument/2006/relationships" ref="M127" r:id="rId126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T26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</cols>
  <sheetData>
    <row r="1" ht="45" customHeight="1">
      <c r="A1" s="8" t="inlineStr">
        <is>
          <t>회사</t>
        </is>
      </c>
      <c r="B1" s="8" t="inlineStr">
        <is>
          <t>종목코드</t>
        </is>
      </c>
      <c r="C1" s="8" t="inlineStr">
        <is>
          <t>기준분기</t>
        </is>
      </c>
      <c r="D1" s="8" t="inlineStr">
        <is>
          <t>연결/별도</t>
        </is>
      </c>
      <c r="E1" s="8" t="inlineStr">
        <is>
          <t>시가총액</t>
        </is>
      </c>
      <c r="F1" s="8" t="inlineStr">
        <is>
          <t>지배주주순이익 YTD당기</t>
        </is>
      </c>
      <c r="G1" s="8" t="inlineStr">
        <is>
          <t>지배주주순이익 연간(전년)</t>
        </is>
      </c>
      <c r="H1" s="8" t="inlineStr">
        <is>
          <t>지배주주순이익 YTD전년동기</t>
        </is>
      </c>
      <c r="I1" s="8" t="inlineStr">
        <is>
          <t>지배주주순이익 TTM[엑셀]</t>
        </is>
      </c>
      <c r="J1" s="8" t="inlineStr">
        <is>
          <t>지배주주순이익 TTM[파이썬]</t>
        </is>
      </c>
      <c r="K1" s="8" t="inlineStr">
        <is>
          <t>지배주주순이익 일치</t>
        </is>
      </c>
      <c r="L1" s="8" t="inlineStr">
        <is>
          <t>당기순이익 YTD당기</t>
        </is>
      </c>
      <c r="M1" s="8" t="inlineStr">
        <is>
          <t>당기순이익 연간(전년)</t>
        </is>
      </c>
      <c r="N1" s="8" t="inlineStr">
        <is>
          <t>당기순이익 YTD전년동기</t>
        </is>
      </c>
      <c r="O1" s="8" t="inlineStr">
        <is>
          <t>당기순이익 TTM[엑셀]</t>
        </is>
      </c>
      <c r="P1" s="8" t="inlineStr">
        <is>
          <t>당기순이익 TTM[파이썬]</t>
        </is>
      </c>
      <c r="Q1" s="8" t="inlineStr">
        <is>
          <t>당기순이익 일치</t>
        </is>
      </c>
      <c r="R1" s="8" t="inlineStr">
        <is>
          <t>매출액 YTD당기</t>
        </is>
      </c>
      <c r="S1" s="8" t="inlineStr">
        <is>
          <t>매출액 연간(전년)</t>
        </is>
      </c>
      <c r="T1" s="8" t="inlineStr">
        <is>
          <t>매출액 YTD전년동기</t>
        </is>
      </c>
      <c r="U1" s="8" t="inlineStr">
        <is>
          <t>매출액 TTM[엑셀]</t>
        </is>
      </c>
      <c r="V1" s="8" t="inlineStr">
        <is>
          <t>매출액 TTM[파이썬]</t>
        </is>
      </c>
      <c r="W1" s="8" t="inlineStr">
        <is>
          <t>매출액 일치</t>
        </is>
      </c>
      <c r="X1" s="8" t="inlineStr">
        <is>
          <t>매출총이익 YTD당기</t>
        </is>
      </c>
      <c r="Y1" s="8" t="inlineStr">
        <is>
          <t>매출총이익 연간(전년)</t>
        </is>
      </c>
      <c r="Z1" s="8" t="inlineStr">
        <is>
          <t>매출총이익 YTD전년동기</t>
        </is>
      </c>
      <c r="AA1" s="8" t="inlineStr">
        <is>
          <t>매출총이익 TTM[엑셀]</t>
        </is>
      </c>
      <c r="AB1" s="8" t="inlineStr">
        <is>
          <t>매출총이익 TTM[파이썬]</t>
        </is>
      </c>
      <c r="AC1" s="8" t="inlineStr">
        <is>
          <t>매출총이익 일치</t>
        </is>
      </c>
      <c r="AD1" s="8" t="inlineStr">
        <is>
          <t>영업이익 YTD당기</t>
        </is>
      </c>
      <c r="AE1" s="8" t="inlineStr">
        <is>
          <t>영업이익 연간(전년)</t>
        </is>
      </c>
      <c r="AF1" s="8" t="inlineStr">
        <is>
          <t>영업이익 YTD전년동기</t>
        </is>
      </c>
      <c r="AG1" s="8" t="inlineStr">
        <is>
          <t>영업이익 TTM[엑셀]</t>
        </is>
      </c>
      <c r="AH1" s="8" t="inlineStr">
        <is>
          <t>영업이익 TTM[파이썬]</t>
        </is>
      </c>
      <c r="AI1" s="8" t="inlineStr">
        <is>
          <t>영업이익 일치</t>
        </is>
      </c>
      <c r="AJ1" s="8" t="inlineStr">
        <is>
          <t>영업현금흐름 YTD당기</t>
        </is>
      </c>
      <c r="AK1" s="8" t="inlineStr">
        <is>
          <t>영업현금흐름 연간(전년)</t>
        </is>
      </c>
      <c r="AL1" s="8" t="inlineStr">
        <is>
          <t>영업현금흐름 YTD전년동기</t>
        </is>
      </c>
      <c r="AM1" s="8" t="inlineStr">
        <is>
          <t>영업현금흐름 TTM[엑셀]</t>
        </is>
      </c>
      <c r="AN1" s="8" t="inlineStr">
        <is>
          <t>영업현금흐름 TTM[파이썬]</t>
        </is>
      </c>
      <c r="AO1" s="8" t="inlineStr">
        <is>
          <t>영업현금흐름 일치</t>
        </is>
      </c>
      <c r="AP1" s="8" t="inlineStr">
        <is>
          <t>지배주주자본 당기말</t>
        </is>
      </c>
      <c r="AQ1" s="8" t="inlineStr">
        <is>
          <t>지배주주자본 전년동기말</t>
        </is>
      </c>
      <c r="AR1" s="8" t="inlineStr">
        <is>
          <t>자산총계 당기말</t>
        </is>
      </c>
      <c r="AS1" s="8" t="inlineStr">
        <is>
          <t>자산총계 전년동기말</t>
        </is>
      </c>
      <c r="AT1" s="8" t="inlineStr">
        <is>
          <t>이자부부채 당기말</t>
        </is>
      </c>
      <c r="AU1" s="8" t="inlineStr">
        <is>
          <t>이자부부채 전년동기말</t>
        </is>
      </c>
      <c r="AV1" s="8" t="inlineStr">
        <is>
          <t>현금성자산 당기말</t>
        </is>
      </c>
      <c r="AW1" s="8" t="inlineStr">
        <is>
          <t>현금성자산 전년동기말</t>
        </is>
      </c>
      <c r="AX1" s="8" t="inlineStr">
        <is>
          <t>단기금융상품 당기말</t>
        </is>
      </c>
      <c r="AY1" s="8" t="inlineStr">
        <is>
          <t>단기금융상품 전년동기말</t>
        </is>
      </c>
      <c r="AZ1" s="8" t="inlineStr">
        <is>
          <t>E/P[엑셀]</t>
        </is>
      </c>
      <c r="BA1" s="8" t="inlineStr">
        <is>
          <t>E/P[파이썬]</t>
        </is>
      </c>
      <c r="BB1" s="8" t="inlineStr">
        <is>
          <t>E/P 일치</t>
        </is>
      </c>
      <c r="BC1" s="8" t="inlineStr">
        <is>
          <t>B/P[엑셀]</t>
        </is>
      </c>
      <c r="BD1" s="8" t="inlineStr">
        <is>
          <t>B/P[파이썬]</t>
        </is>
      </c>
      <c r="BE1" s="8" t="inlineStr">
        <is>
          <t>B/P 일치</t>
        </is>
      </c>
      <c r="BF1" s="8" t="inlineStr">
        <is>
          <t>ROE[엑셀]</t>
        </is>
      </c>
      <c r="BG1" s="8" t="inlineStr">
        <is>
          <t>ROE[파이썬]</t>
        </is>
      </c>
      <c r="BH1" s="8" t="inlineStr">
        <is>
          <t>ROE 일치</t>
        </is>
      </c>
      <c r="BI1" s="8" t="inlineStr">
        <is>
          <t>GP/A[엑셀]</t>
        </is>
      </c>
      <c r="BJ1" s="8" t="inlineStr">
        <is>
          <t>GP/A[파이썬]</t>
        </is>
      </c>
      <c r="BK1" s="8" t="inlineStr">
        <is>
          <t>GP/A 일치</t>
        </is>
      </c>
      <c r="BL1" s="8" t="inlineStr">
        <is>
          <t>EV[엑셀]</t>
        </is>
      </c>
      <c r="BM1" s="8" t="inlineStr">
        <is>
          <t>EV[파이썬]</t>
        </is>
      </c>
      <c r="BN1" s="8" t="inlineStr">
        <is>
          <t>EV 일치</t>
        </is>
      </c>
      <c r="BO1" s="8" t="inlineStr">
        <is>
          <t>EBIT/EV[엑셀]</t>
        </is>
      </c>
      <c r="BP1" s="8" t="inlineStr">
        <is>
          <t>EBIT/EV[파이썬]</t>
        </is>
      </c>
      <c r="BQ1" s="8" t="inlineStr">
        <is>
          <t>EBIT/EV 일치</t>
        </is>
      </c>
      <c r="BR1" s="8" t="inlineStr">
        <is>
          <t>CFO/NI[엑셀]</t>
        </is>
      </c>
      <c r="BS1" s="8" t="inlineStr">
        <is>
          <t>CFO/NI[파이썬]</t>
        </is>
      </c>
      <c r="BT1" s="8" t="inlineStr">
        <is>
          <t>CFO/NI 일치</t>
        </is>
      </c>
    </row>
    <row r="2">
      <c r="A2" t="inlineStr">
        <is>
          <t>삼성전자</t>
        </is>
      </c>
      <c r="B2" t="inlineStr">
        <is>
          <t>005930</t>
        </is>
      </c>
      <c r="C2" t="inlineStr">
        <is>
          <t>2026Q2</t>
        </is>
      </c>
      <c r="D2" t="inlineStr">
        <is>
          <t>CFS</t>
        </is>
      </c>
      <c r="E2" t="n">
        <v>1455105513242300</v>
      </c>
      <c r="F2" s="5" t="n">
        <v>118370658000000</v>
      </c>
      <c r="G2" s="5" t="n">
        <v>44260956000000</v>
      </c>
      <c r="H2" s="5" t="n">
        <v>12962441000000</v>
      </c>
      <c r="I2" s="9">
        <f>IF(OR(F2="",G2="",H2=""),"",F2+G2-H2)</f>
        <v/>
      </c>
      <c r="J2" t="n">
        <v>149669173000000</v>
      </c>
      <c r="K2">
        <f>IF(AND(I2="",J2=""),"",IF(OR(I2="",J2=""),"불일치",IF(ABS(I2-J2)&lt;=MAX(1,ABS(J2))*1E-9,"일치","불일치")))</f>
        <v/>
      </c>
      <c r="L2" s="5" t="n">
        <v>118849733000000</v>
      </c>
      <c r="M2" s="5" t="n">
        <v>45206805000000</v>
      </c>
      <c r="N2" s="5" t="n">
        <v>13339313000000</v>
      </c>
      <c r="O2" s="9">
        <f>IF(OR(L2="",M2="",N2=""),"",L2+M2-N2)</f>
        <v/>
      </c>
      <c r="P2" t="n">
        <v>150717225000000</v>
      </c>
      <c r="Q2">
        <f>IF(AND(O2="",P2=""),"",IF(OR(O2="",P2=""),"불일치",IF(ABS(O2-P2)&lt;=MAX(1,ABS(P2))*1E-9,"일치","불일치")))</f>
        <v/>
      </c>
      <c r="R2" s="5" t="n">
        <v>305372914000000</v>
      </c>
      <c r="S2" s="5" t="n">
        <v>333605938000000</v>
      </c>
      <c r="T2" s="5" t="n">
        <v>153706820000000</v>
      </c>
      <c r="U2" s="9">
        <f>IF(OR(R2="",S2="",T2=""),"",R2+S2-T2)</f>
        <v/>
      </c>
      <c r="V2" t="n">
        <v>485272032000000</v>
      </c>
      <c r="W2">
        <f>IF(AND(U2="",V2=""),"",IF(OR(U2="",V2=""),"불일치",IF(ABS(U2-V2)&lt;=MAX(1,ABS(V2))*1E-9,"일치","불일치")))</f>
        <v/>
      </c>
      <c r="X2" s="5" t="n">
        <v>201213884000000</v>
      </c>
      <c r="Y2" s="5" t="n">
        <v>131370425000000</v>
      </c>
      <c r="Z2" s="5" t="n">
        <v>53627323000000</v>
      </c>
      <c r="AA2" s="9">
        <f>IF(OR(X2="",Y2="",Z2=""),"",X2+Y2-Z2)</f>
        <v/>
      </c>
      <c r="AB2" t="n">
        <v>278956986000000</v>
      </c>
      <c r="AC2">
        <f>IF(AND(AA2="",AB2=""),"",IF(OR(AA2="",AB2=""),"불일치",IF(ABS(AA2-AB2)&lt;=MAX(1,ABS(AB2))*1E-9,"일치","불일치")))</f>
        <v/>
      </c>
      <c r="AD2" s="5" t="n">
        <v>146725209000000</v>
      </c>
      <c r="AE2" s="5" t="n">
        <v>43601051000000</v>
      </c>
      <c r="AF2" s="5" t="n">
        <v>11361329000000</v>
      </c>
      <c r="AG2" s="9">
        <f>IF(OR(AD2="",AE2="",AF2=""),"",AD2+AE2-AF2)</f>
        <v/>
      </c>
      <c r="AH2" t="n">
        <v>178964931000000</v>
      </c>
      <c r="AI2">
        <f>IF(AND(AG2="",AH2=""),"",IF(OR(AG2="",AH2=""),"불일치",IF(ABS(AG2-AH2)&lt;=MAX(1,ABS(AH2))*1E-9,"일치","불일치")))</f>
        <v/>
      </c>
      <c r="AJ2" s="5" t="n">
        <v>145355192000000</v>
      </c>
      <c r="AK2" s="5" t="n">
        <v>85315148000000</v>
      </c>
      <c r="AL2" s="5" t="n">
        <v>33941002000000</v>
      </c>
      <c r="AM2" s="9">
        <f>IF(OR(AJ2="",AK2="",AL2=""),"",AJ2+AK2-AL2)</f>
        <v/>
      </c>
      <c r="AN2" t="n">
        <v>196729338000000</v>
      </c>
      <c r="AO2">
        <f>IF(AND(AM2="",AN2=""),"",IF(OR(AM2="",AN2=""),"불일치",IF(ABS(AM2-AN2)&lt;=MAX(1,ABS(AN2))*1E-9,"일치","불일치")))</f>
        <v/>
      </c>
      <c r="AP2" s="5" t="n">
        <v>565064740000000</v>
      </c>
      <c r="AQ2" s="5" t="n">
        <v>388694117000000</v>
      </c>
      <c r="AR2" s="5" t="n">
        <v>759480516000000</v>
      </c>
      <c r="AS2" s="5" t="n">
        <v>504875185000000</v>
      </c>
      <c r="AT2" s="5" t="n">
        <v>22408721000000</v>
      </c>
      <c r="AU2" s="5" t="n">
        <v>14029673000000</v>
      </c>
      <c r="AV2" s="5" t="n">
        <v>92916382000000</v>
      </c>
      <c r="AW2" s="5" t="n">
        <v>47120025000000</v>
      </c>
      <c r="AX2" s="5" t="n">
        <v>97036646000000</v>
      </c>
      <c r="AY2" s="5" t="n">
        <v>53580554000000</v>
      </c>
      <c r="AZ2" s="9">
        <f>IFERROR(I2/E2,"")</f>
        <v/>
      </c>
      <c r="BA2" t="n">
        <v>0.1028579519752514</v>
      </c>
      <c r="BB2">
        <f>IF(AND(AZ2="",BA2=""),"",IF(OR(AZ2="",BA2=""),"불일치",IF(ABS(AZ2-BA2)&lt;=MAX(1,ABS(BA2))*1E-9,"일치","불일치")))</f>
        <v/>
      </c>
      <c r="BC2" s="9">
        <f>IFERROR(IF(AP2&lt;=0,"",AP2/E2),"")</f>
        <v/>
      </c>
      <c r="BD2" t="n">
        <v>0.3883324850724464</v>
      </c>
      <c r="BE2">
        <f>IF(AND(BC2="",BD2=""),"",IF(OR(BC2="",BD2=""),"불일치",IF(ABS(BC2-BD2)&lt;=MAX(1,ABS(BD2))*1E-9,"일치","불일치")))</f>
        <v/>
      </c>
      <c r="BF2" s="9">
        <f>IFERROR(IF(OR(AP2&lt;=0,AQ2&lt;=0),"",I2/((AP2+AQ2)/2)),"")</f>
        <v/>
      </c>
      <c r="BG2" t="n">
        <v>0.3138511834548552</v>
      </c>
      <c r="BH2">
        <f>IF(AND(BF2="",BG2=""),"",IF(OR(BF2="",BG2=""),"불일치",IF(ABS(BF2-BG2)&lt;=MAX(1,ABS(BG2))*1E-9,"일치","불일치")))</f>
        <v/>
      </c>
      <c r="BI2" s="9">
        <f>IFERROR(AA2/((AR2+AS2)/2),"")</f>
        <v/>
      </c>
      <c r="BJ2" t="n">
        <v>0.4412634605583987</v>
      </c>
      <c r="BK2">
        <f>IF(AND(BI2="",BJ2=""),"",IF(OR(BI2="",BJ2=""),"불일치",IF(ABS(BI2-BJ2)&lt;=MAX(1,ABS(BJ2))*1E-9,"일치","불일치")))</f>
        <v/>
      </c>
      <c r="BL2" s="9">
        <f>IFERROR(E2+AT2-AV2-AX2,"")</f>
        <v/>
      </c>
      <c r="BM2" t="n">
        <v>1287561206242300</v>
      </c>
      <c r="BN2">
        <f>IF(AND(BL2="",BM2=""),"",IF(OR(BL2="",BM2=""),"불일치",IF(ABS(BL2-BM2)&lt;=MAX(1,ABS(BM2))*1E-9,"일치","불일치")))</f>
        <v/>
      </c>
      <c r="BO2" s="9">
        <f>IFERROR(IF(OR(BL2&lt;=0,BL2&lt;0.1*E2),"",AG2/BL2),"")</f>
        <v/>
      </c>
      <c r="BP2" t="n">
        <v>0.1389952804824732</v>
      </c>
      <c r="BQ2">
        <f>IF(AND(BO2="",BP2=""),"",IF(OR(BO2="",BP2=""),"불일치",IF(ABS(BO2-BP2)&lt;=MAX(1,ABS(BP2))*1E-9,"일치","불일치")))</f>
        <v/>
      </c>
      <c r="BR2" s="9">
        <f>IFERROR(IF(O2&lt;=0,"",AM2/O2),"")</f>
        <v/>
      </c>
      <c r="BS2" t="n">
        <v>1.305287686924968</v>
      </c>
      <c r="BT2">
        <f>IF(AND(BR2="",BS2=""),"",IF(OR(BR2="",BS2=""),"불일치",IF(ABS(BR2-BS2)&lt;=MAX(1,ABS(BS2))*1E-9,"일치","불일치")))</f>
        <v/>
      </c>
    </row>
    <row r="3">
      <c r="A3" t="inlineStr">
        <is>
          <t>SK하이닉스</t>
        </is>
      </c>
      <c r="B3" t="inlineStr">
        <is>
          <t>000660</t>
        </is>
      </c>
      <c r="C3" t="inlineStr">
        <is>
          <t>2026Q2</t>
        </is>
      </c>
      <c r="D3" t="inlineStr">
        <is>
          <t>CFS</t>
        </is>
      </c>
      <c r="E3" t="n">
        <v>1035838173570000</v>
      </c>
      <c r="F3" s="5" t="n">
        <v>134150412000000</v>
      </c>
      <c r="G3" s="5" t="n">
        <v>42919287000000</v>
      </c>
      <c r="H3" s="5" t="n">
        <v>15104309000000</v>
      </c>
      <c r="I3" s="9">
        <f>IF(OR(F3="",G3="",H3=""),"",F3+G3-H3)</f>
        <v/>
      </c>
      <c r="J3" t="n">
        <v>161965390000000</v>
      </c>
      <c r="K3">
        <f>IF(AND(I3="",J3=""),"",IF(OR(I3="",J3=""),"불일치",IF(ABS(I3-J3)&lt;=MAX(1,ABS(J3))*1E-9,"일치","불일치")))</f>
        <v/>
      </c>
      <c r="L3" s="5" t="n">
        <v>134268502000000</v>
      </c>
      <c r="M3" s="5" t="n">
        <v>42947902000000</v>
      </c>
      <c r="N3" s="5" t="n">
        <v>15104411000000</v>
      </c>
      <c r="O3" s="9">
        <f>IF(OR(L3="",M3="",N3=""),"",L3+M3-N3)</f>
        <v/>
      </c>
      <c r="P3" t="n">
        <v>162111993000000</v>
      </c>
      <c r="Q3">
        <f>IF(AND(O3="",P3=""),"",IF(OR(O3="",P3=""),"불일치",IF(ABS(O3-P3)&lt;=MAX(1,ABS(P3))*1E-9,"일치","불일치")))</f>
        <v/>
      </c>
      <c r="R3" s="5" t="n">
        <v>131895033000000</v>
      </c>
      <c r="S3" s="5" t="n">
        <v>97146675000000</v>
      </c>
      <c r="T3" s="5" t="n">
        <v>39871093000000</v>
      </c>
      <c r="U3" s="9">
        <f>IF(OR(R3="",S3="",T3=""),"",R3+S3-T3)</f>
        <v/>
      </c>
      <c r="V3" t="n">
        <v>189170615000000</v>
      </c>
      <c r="W3">
        <f>IF(AND(U3="",V3=""),"",IF(OR(U3="",V3=""),"불일치",IF(ABS(U3-V3)&lt;=MAX(1,ABS(V3))*1E-9,"일치","불일치")))</f>
        <v/>
      </c>
      <c r="X3" s="5" t="n">
        <v>107670770000000</v>
      </c>
      <c r="Y3" s="5" t="n">
        <v>58690790000000</v>
      </c>
      <c r="Z3" s="5" t="n">
        <v>22085315000000</v>
      </c>
      <c r="AA3" s="9">
        <f>IF(OR(X3="",Y3="",Z3=""),"",X3+Y3-Z3)</f>
        <v/>
      </c>
      <c r="AB3" t="n">
        <v>144276245000000</v>
      </c>
      <c r="AC3">
        <f>IF(AND(AA3="",AB3=""),"",IF(OR(AA3="",AB3=""),"불일치",IF(ABS(AA3-AB3)&lt;=MAX(1,ABS(AB3))*1E-9,"일치","불일치")))</f>
        <v/>
      </c>
      <c r="AD3" s="5" t="n">
        <v>98152891000000</v>
      </c>
      <c r="AE3" s="5" t="n">
        <v>47206319000000</v>
      </c>
      <c r="AF3" s="5" t="n">
        <v>16653355000000</v>
      </c>
      <c r="AG3" s="9">
        <f>IF(OR(AD3="",AE3="",AF3=""),"",AD3+AE3-AF3)</f>
        <v/>
      </c>
      <c r="AH3" t="n">
        <v>128705855000000</v>
      </c>
      <c r="AI3">
        <f>IF(AND(AG3="",AH3=""),"",IF(OR(AG3="",AH3=""),"불일치",IF(ABS(AG3-AH3)&lt;=MAX(1,ABS(AH3))*1E-9,"일치","불일치")))</f>
        <v/>
      </c>
      <c r="AJ3" s="5" t="n">
        <v>91742501000000</v>
      </c>
      <c r="AK3" s="5" t="n">
        <v>53373126000000</v>
      </c>
      <c r="AL3" s="5" t="n">
        <v>18189841000000</v>
      </c>
      <c r="AM3" s="9">
        <f>IF(OR(AJ3="",AK3="",AL3=""),"",AJ3+AK3-AL3)</f>
        <v/>
      </c>
      <c r="AN3" t="n">
        <v>126925786000000</v>
      </c>
      <c r="AO3">
        <f>IF(AND(AM3="",AN3=""),"",IF(OR(AM3="",AN3=""),"불일치",IF(ABS(AM3-AN3)&lt;=MAX(1,ABS(AN3))*1E-9,"일치","불일치")))</f>
        <v/>
      </c>
      <c r="AP3" s="5" t="n">
        <v>262380610000000</v>
      </c>
      <c r="AQ3" s="5" t="n">
        <v>87127160000000</v>
      </c>
      <c r="AR3" s="5" t="n">
        <v>348862214000000</v>
      </c>
      <c r="AS3" s="5" t="n">
        <v>129087781000000</v>
      </c>
      <c r="AT3" s="5" t="n">
        <v>21113139000000</v>
      </c>
      <c r="AU3" s="5" t="n">
        <v>24369171000000</v>
      </c>
      <c r="AV3" s="5" t="n">
        <v>26835986000000</v>
      </c>
      <c r="AW3" s="5" t="n">
        <v>9075311000000</v>
      </c>
      <c r="AX3" s="5" t="n">
        <v>22397559000000</v>
      </c>
      <c r="AY3" s="5" t="n">
        <v>6219683000000</v>
      </c>
      <c r="AZ3" s="9">
        <f>IFERROR(I3/E3,"")</f>
        <v/>
      </c>
      <c r="BA3" t="n">
        <v>0.1563616732156036</v>
      </c>
      <c r="BB3">
        <f>IF(AND(AZ3="",BA3=""),"",IF(OR(AZ3="",BA3=""),"불일치",IF(ABS(AZ3-BA3)&lt;=MAX(1,ABS(BA3))*1E-9,"일치","불일치")))</f>
        <v/>
      </c>
      <c r="BC3" s="9">
        <f>IFERROR(IF(AP3&lt;=0,"",AP3/E3),"")</f>
        <v/>
      </c>
      <c r="BD3" t="n">
        <v>0.2533027037376981</v>
      </c>
      <c r="BE3">
        <f>IF(AND(BC3="",BD3=""),"",IF(OR(BC3="",BD3=""),"불일치",IF(ABS(BC3-BD3)&lt;=MAX(1,ABS(BD3))*1E-9,"일치","불일치")))</f>
        <v/>
      </c>
      <c r="BF3" s="9">
        <f>IFERROR(IF(OR(AP3&lt;=0,AQ3&lt;=0),"",I3/((AP3+AQ3)/2)),"")</f>
        <v/>
      </c>
      <c r="BG3" t="n">
        <v>0.9268199674073054</v>
      </c>
      <c r="BH3">
        <f>IF(AND(BF3="",BG3=""),"",IF(OR(BF3="",BG3=""),"불일치",IF(ABS(BF3-BG3)&lt;=MAX(1,ABS(BG3))*1E-9,"일치","불일치")))</f>
        <v/>
      </c>
      <c r="BI3" s="9">
        <f>IFERROR(AA3/((AR3+AS3)/2),"")</f>
        <v/>
      </c>
      <c r="BJ3" t="n">
        <v>0.6037294550029235</v>
      </c>
      <c r="BK3">
        <f>IF(AND(BI3="",BJ3=""),"",IF(OR(BI3="",BJ3=""),"불일치",IF(ABS(BI3-BJ3)&lt;=MAX(1,ABS(BJ3))*1E-9,"일치","불일치")))</f>
        <v/>
      </c>
      <c r="BL3" s="9">
        <f>IFERROR(E3+AT3-AV3-AX3,"")</f>
        <v/>
      </c>
      <c r="BM3" t="n">
        <v>1007717767570000</v>
      </c>
      <c r="BN3">
        <f>IF(AND(BL3="",BM3=""),"",IF(OR(BL3="",BM3=""),"불일치",IF(ABS(BL3-BM3)&lt;=MAX(1,ABS(BM3))*1E-9,"일치","불일치")))</f>
        <v/>
      </c>
      <c r="BO3" s="9">
        <f>IFERROR(IF(OR(BL3&lt;=0,BL3&lt;0.1*E3),"",AG3/BL3),"")</f>
        <v/>
      </c>
      <c r="BP3" t="n">
        <v>0.1277201406405287</v>
      </c>
      <c r="BQ3">
        <f>IF(AND(BO3="",BP3=""),"",IF(OR(BO3="",BP3=""),"불일치",IF(ABS(BO3-BP3)&lt;=MAX(1,ABS(BP3))*1E-9,"일치","불일치")))</f>
        <v/>
      </c>
      <c r="BR3" s="9">
        <f>IFERROR(IF(O3&lt;=0,"",AM3/O3),"")</f>
        <v/>
      </c>
      <c r="BS3" t="n">
        <v>0.7829512403810864</v>
      </c>
      <c r="BT3">
        <f>IF(AND(BR3="",BS3=""),"",IF(OR(BR3="",BS3=""),"불일치",IF(ABS(BR3-BS3)&lt;=MAX(1,ABS(BS3))*1E-9,"일치","불일치")))</f>
        <v/>
      </c>
    </row>
    <row r="4">
      <c r="A4" t="inlineStr">
        <is>
          <t>현대자동차</t>
        </is>
      </c>
      <c r="B4" t="inlineStr">
        <is>
          <t>005380</t>
        </is>
      </c>
      <c r="C4" t="inlineStr">
        <is>
          <t>2026Q2</t>
        </is>
      </c>
      <c r="D4" t="inlineStr">
        <is>
          <t>CFS</t>
        </is>
      </c>
      <c r="E4" t="n">
        <v>66270568998500</v>
      </c>
      <c r="F4" s="5" t="n">
        <v>4856197000000</v>
      </c>
      <c r="G4" s="5" t="n">
        <v>9445987000000</v>
      </c>
      <c r="H4" s="5" t="n">
        <v>6155597000000</v>
      </c>
      <c r="I4" s="9">
        <f>IF(OR(F4="",G4="",H4=""),"",F4+G4-H4)</f>
        <v/>
      </c>
      <c r="J4" t="n">
        <v>8146587000000</v>
      </c>
      <c r="K4">
        <f>IF(AND(I4="",J4=""),"",IF(OR(I4="",J4=""),"불일치",IF(ABS(I4-J4)&lt;=MAX(1,ABS(J4))*1E-9,"일치","불일치")))</f>
        <v/>
      </c>
      <c r="L4" s="5" t="n">
        <v>5472888000000</v>
      </c>
      <c r="M4" s="5" t="n">
        <v>10364775000000</v>
      </c>
      <c r="N4" s="5" t="n">
        <v>6632564000000</v>
      </c>
      <c r="O4" s="9">
        <f>IF(OR(L4="",M4="",N4=""),"",L4+M4-N4)</f>
        <v/>
      </c>
      <c r="P4" t="n">
        <v>9205099000000</v>
      </c>
      <c r="Q4">
        <f>IF(AND(O4="",P4=""),"",IF(OR(O4="",P4=""),"불일치",IF(ABS(O4-P4)&lt;=MAX(1,ABS(P4))*1E-9,"일치","불일치")))</f>
        <v/>
      </c>
      <c r="R4" s="5" t="n">
        <v>95154214000000</v>
      </c>
      <c r="S4" s="5" t="n">
        <v>186254472000000</v>
      </c>
      <c r="T4" s="5" t="n">
        <v>92694438000000</v>
      </c>
      <c r="U4" s="9">
        <f>IF(OR(R4="",S4="",T4=""),"",R4+S4-T4)</f>
        <v/>
      </c>
      <c r="V4" t="n">
        <v>188714248000000</v>
      </c>
      <c r="W4">
        <f>IF(AND(U4="",V4=""),"",IF(OR(U4="",V4=""),"불일치",IF(ABS(U4-V4)&lt;=MAX(1,ABS(V4))*1E-9,"일치","불일치")))</f>
        <v/>
      </c>
      <c r="X4" s="5" t="n">
        <v>16752940000000</v>
      </c>
      <c r="Y4" s="5" t="n">
        <v>34216836000000</v>
      </c>
      <c r="Z4" s="5" t="n">
        <v>18089338000000</v>
      </c>
      <c r="AA4" s="9">
        <f>IF(OR(X4="",Y4="",Z4=""),"",X4+Y4-Z4)</f>
        <v/>
      </c>
      <c r="AB4" t="n">
        <v>32880438000000</v>
      </c>
      <c r="AC4">
        <f>IF(AND(AA4="",AB4=""),"",IF(OR(AA4="",AB4=""),"불일치",IF(ABS(AA4-AB4)&lt;=MAX(1,ABS(AB4))*1E-9,"일치","불일치")))</f>
        <v/>
      </c>
      <c r="AD4" s="5" t="n">
        <v>5365574000000</v>
      </c>
      <c r="AE4" s="5" t="n">
        <v>11467851000000</v>
      </c>
      <c r="AF4" s="5" t="n">
        <v>7235206000000</v>
      </c>
      <c r="AG4" s="9">
        <f>IF(OR(AD4="",AE4="",AF4=""),"",AD4+AE4-AF4)</f>
        <v/>
      </c>
      <c r="AH4" t="n">
        <v>9598219000000</v>
      </c>
      <c r="AI4">
        <f>IF(AND(AG4="",AH4=""),"",IF(OR(AG4="",AH4=""),"불일치",IF(ABS(AG4-AH4)&lt;=MAX(1,ABS(AH4))*1E-9,"일치","불일치")))</f>
        <v/>
      </c>
      <c r="AJ4" s="5" t="n">
        <v>4849653000000</v>
      </c>
      <c r="AK4" s="5" t="n">
        <v>-5991270000000</v>
      </c>
      <c r="AL4" s="5" t="n">
        <v>959651000000</v>
      </c>
      <c r="AM4" s="9">
        <f>IF(OR(AJ4="",AK4="",AL4=""),"",AJ4+AK4-AL4)</f>
        <v/>
      </c>
      <c r="AN4" t="n">
        <v>-2101268000000</v>
      </c>
      <c r="AO4">
        <f>IF(AND(AM4="",AN4=""),"",IF(OR(AM4="",AN4=""),"불일치",IF(ABS(AM4-AN4)&lt;=MAX(1,ABS(AN4))*1E-9,"일치","불일치")))</f>
        <v/>
      </c>
      <c r="AP4" s="5" t="n">
        <v>122327997000000</v>
      </c>
      <c r="AQ4" s="5" t="n">
        <v>110277190000000</v>
      </c>
      <c r="AR4" s="5" t="n">
        <v>394512167000000</v>
      </c>
      <c r="AS4" s="5" t="n">
        <v>339702469000000</v>
      </c>
      <c r="AT4" s="5" t="n">
        <v>190418762000000</v>
      </c>
      <c r="AU4" s="5" t="n">
        <v>155335783000000</v>
      </c>
      <c r="AV4" s="5" t="n">
        <v>20256150000000</v>
      </c>
      <c r="AW4" s="5" t="n">
        <v>17519724000000</v>
      </c>
      <c r="AX4" s="5" t="n">
        <v>5737868000000</v>
      </c>
      <c r="AY4" s="5" t="n">
        <v>7062973000000</v>
      </c>
      <c r="AZ4" s="9">
        <f>IFERROR(I4/E4,"")</f>
        <v/>
      </c>
      <c r="BA4" t="n">
        <v>0.1229291844496521</v>
      </c>
      <c r="BB4">
        <f>IF(AND(AZ4="",BA4=""),"",IF(OR(AZ4="",BA4=""),"불일치",IF(ABS(AZ4-BA4)&lt;=MAX(1,ABS(BA4))*1E-9,"일치","불일치")))</f>
        <v/>
      </c>
      <c r="BC4" s="9">
        <f>IFERROR(IF(AP4&lt;=0,"",AP4/E4),"")</f>
        <v/>
      </c>
      <c r="BD4" t="n">
        <v>1.845887229409013</v>
      </c>
      <c r="BE4">
        <f>IF(AND(BC4="",BD4=""),"",IF(OR(BC4="",BD4=""),"불일치",IF(ABS(BC4-BD4)&lt;=MAX(1,ABS(BD4))*1E-9,"일치","불일치")))</f>
        <v/>
      </c>
      <c r="BF4" s="9">
        <f>IFERROR(IF(OR(AP4&lt;=0,AQ4&lt;=0),"",I4/((AP4+AQ4)/2)),"")</f>
        <v/>
      </c>
      <c r="BG4" t="n">
        <v>0.07004647751040909</v>
      </c>
      <c r="BH4">
        <f>IF(AND(BF4="",BG4=""),"",IF(OR(BF4="",BG4=""),"불일치",IF(ABS(BF4-BG4)&lt;=MAX(1,ABS(BG4))*1E-9,"일치","불일치")))</f>
        <v/>
      </c>
      <c r="BI4" s="9">
        <f>IFERROR(AA4/((AR4+AS4)/2),"")</f>
        <v/>
      </c>
      <c r="BJ4" t="n">
        <v>0.08956628317608205</v>
      </c>
      <c r="BK4">
        <f>IF(AND(BI4="",BJ4=""),"",IF(OR(BI4="",BJ4=""),"불일치",IF(ABS(BI4-BJ4)&lt;=MAX(1,ABS(BJ4))*1E-9,"일치","불일치")))</f>
        <v/>
      </c>
      <c r="BL4" s="9">
        <f>IFERROR(E4+AT4-AV4-AX4,"")</f>
        <v/>
      </c>
      <c r="BM4" t="n">
        <v>230695312998500</v>
      </c>
      <c r="BN4">
        <f>IF(AND(BL4="",BM4=""),"",IF(OR(BL4="",BM4=""),"불일치",IF(ABS(BL4-BM4)&lt;=MAX(1,ABS(BM4))*1E-9,"일치","불일치")))</f>
        <v/>
      </c>
      <c r="BO4" s="9">
        <f>IFERROR(IF(OR(BL4&lt;=0,BL4&lt;0.1*E4),"",AG4/BL4),"")</f>
        <v/>
      </c>
      <c r="BP4" t="n">
        <v>0.04160560904010394</v>
      </c>
      <c r="BQ4">
        <f>IF(AND(BO4="",BP4=""),"",IF(OR(BO4="",BP4=""),"불일치",IF(ABS(BO4-BP4)&lt;=MAX(1,ABS(BP4))*1E-9,"일치","불일치")))</f>
        <v/>
      </c>
      <c r="BR4" s="9">
        <f>IFERROR(IF(O4&lt;=0,"",AM4/O4),"")</f>
        <v/>
      </c>
      <c r="BS4" t="n">
        <v>-0.2282721782785823</v>
      </c>
      <c r="BT4">
        <f>IF(AND(BR4="",BS4=""),"",IF(OR(BR4="",BS4=""),"불일치",IF(ABS(BR4-BS4)&lt;=MAX(1,ABS(BS4))*1E-9,"일치","불일치")))</f>
        <v/>
      </c>
    </row>
    <row r="5">
      <c r="A5" t="inlineStr">
        <is>
          <t>NAVER</t>
        </is>
      </c>
      <c r="B5" t="inlineStr">
        <is>
          <t>035420</t>
        </is>
      </c>
      <c r="C5" t="inlineStr">
        <is>
          <t>2026Q2</t>
        </is>
      </c>
      <c r="D5" t="inlineStr">
        <is>
          <t>CFS</t>
        </is>
      </c>
      <c r="E5" t="n">
        <v>26208362091600</v>
      </c>
      <c r="F5" s="5" t="n">
        <v>983946430695</v>
      </c>
      <c r="G5" s="5" t="n">
        <v>1953214734956</v>
      </c>
      <c r="H5" s="5" t="n">
        <v>913622969800</v>
      </c>
      <c r="I5" s="9">
        <f>IF(OR(F5="",G5="",H5=""),"",F5+G5-H5)</f>
        <v/>
      </c>
      <c r="J5" t="n">
        <v>2023538195851</v>
      </c>
      <c r="K5">
        <f>IF(AND(I5="",J5=""),"",IF(OR(I5="",J5=""),"불일치",IF(ABS(I5-J5)&lt;=MAX(1,ABS(J5))*1E-9,"일치","불일치")))</f>
        <v/>
      </c>
      <c r="L5" s="5" t="n">
        <v>995294183086</v>
      </c>
      <c r="M5" s="5" t="n">
        <v>1818746310015</v>
      </c>
      <c r="N5" s="5" t="n">
        <v>921019633550</v>
      </c>
      <c r="O5" s="9">
        <f>IF(OR(L5="",M5="",N5=""),"",L5+M5-N5)</f>
        <v/>
      </c>
      <c r="P5" t="n">
        <v>1893020859551</v>
      </c>
      <c r="Q5">
        <f>IF(AND(O5="",P5=""),"",IF(OR(O5="",P5=""),"불일치",IF(ABS(O5-P5)&lt;=MAX(1,ABS(P5))*1E-9,"일치","불일치")))</f>
        <v/>
      </c>
      <c r="R5" s="5" t="n">
        <v>6629816183195</v>
      </c>
      <c r="S5" s="5" t="n">
        <v>12035007218975</v>
      </c>
      <c r="T5" s="5" t="n">
        <v>5701868408120</v>
      </c>
      <c r="U5" s="9">
        <f>IF(OR(R5="",S5="",T5=""),"",R5+S5-T5)</f>
        <v/>
      </c>
      <c r="V5" t="n">
        <v>12962954994050</v>
      </c>
      <c r="W5">
        <f>IF(AND(U5="",V5=""),"",IF(OR(U5="",V5=""),"불일치",IF(ABS(U5-V5)&lt;=MAX(1,ABS(V5))*1E-9,"일치","불일치")))</f>
        <v/>
      </c>
      <c r="X5" s="5" t="n"/>
      <c r="Y5" s="5" t="n"/>
      <c r="Z5" s="5" t="n"/>
      <c r="AA5" s="9">
        <f>IF(OR(X5="",Y5="",Z5=""),"",X5+Y5-Z5)</f>
        <v/>
      </c>
      <c r="AC5">
        <f>IF(AND(AA5="",AB5=""),"",IF(OR(AA5="",AB5=""),"불일치",IF(ABS(AA5-AB5)&lt;=MAX(1,ABS(AB5))*1E-9,"일치","불일치")))</f>
        <v/>
      </c>
      <c r="AD5" s="5" t="n">
        <v>1062066552592</v>
      </c>
      <c r="AE5" s="5" t="n">
        <v>2208138388720</v>
      </c>
      <c r="AF5" s="5" t="n">
        <v>1026855081011</v>
      </c>
      <c r="AG5" s="9">
        <f>IF(OR(AD5="",AE5="",AF5=""),"",AD5+AE5-AF5)</f>
        <v/>
      </c>
      <c r="AH5" t="n">
        <v>2243349860301</v>
      </c>
      <c r="AI5">
        <f>IF(AND(AG5="",AH5=""),"",IF(OR(AG5="",AH5=""),"불일치",IF(ABS(AG5-AH5)&lt;=MAX(1,ABS(AH5))*1E-9,"일치","불일치")))</f>
        <v/>
      </c>
      <c r="AJ5" s="5" t="n">
        <v>1186557718996</v>
      </c>
      <c r="AK5" s="5" t="n">
        <v>3095806604677</v>
      </c>
      <c r="AL5" s="5" t="n">
        <v>1124942340048</v>
      </c>
      <c r="AM5" s="9">
        <f>IF(OR(AJ5="",AK5="",AL5=""),"",AJ5+AK5-AL5)</f>
        <v/>
      </c>
      <c r="AN5" t="n">
        <v>3157421983625</v>
      </c>
      <c r="AO5">
        <f>IF(AND(AM5="",AN5=""),"",IF(OR(AM5="",AN5=""),"불일치",IF(ABS(AM5-AN5)&lt;=MAX(1,ABS(AN5))*1E-9,"일치","불일치")))</f>
        <v/>
      </c>
      <c r="AP5" s="5" t="n">
        <v>29539564060069</v>
      </c>
      <c r="AQ5" s="5" t="n">
        <v>26401621734922</v>
      </c>
      <c r="AR5" s="5" t="n">
        <v>44656683622468</v>
      </c>
      <c r="AS5" s="5" t="n">
        <v>39351060803109</v>
      </c>
      <c r="AT5" s="5" t="n">
        <v>4894705557970</v>
      </c>
      <c r="AU5" s="5" t="n">
        <v>2376064886149</v>
      </c>
      <c r="AV5" s="5" t="n">
        <v>6384369789988</v>
      </c>
      <c r="AW5" s="5" t="n">
        <v>4871303504081</v>
      </c>
      <c r="AX5" s="5" t="n">
        <v>2017072977324</v>
      </c>
      <c r="AY5" s="5" t="n">
        <v>2676558769142</v>
      </c>
      <c r="AZ5" s="9">
        <f>IFERROR(I5/E5,"")</f>
        <v/>
      </c>
      <c r="BA5" t="n">
        <v>0.07720963976224829</v>
      </c>
      <c r="BB5">
        <f>IF(AND(AZ5="",BA5=""),"",IF(OR(AZ5="",BA5=""),"불일치",IF(ABS(AZ5-BA5)&lt;=MAX(1,ABS(BA5))*1E-9,"일치","불일치")))</f>
        <v/>
      </c>
      <c r="BC5" s="9">
        <f>IFERROR(IF(AP5&lt;=0,"",AP5/E5),"")</f>
        <v/>
      </c>
      <c r="BD5" t="n">
        <v>1.127104546130209</v>
      </c>
      <c r="BE5">
        <f>IF(AND(BC5="",BD5=""),"",IF(OR(BC5="",BD5=""),"불일치",IF(ABS(BC5-BD5)&lt;=MAX(1,ABS(BD5))*1E-9,"일치","불일치")))</f>
        <v/>
      </c>
      <c r="BF5" s="9">
        <f>IFERROR(IF(OR(AP5&lt;=0,AQ5&lt;=0),"",I5/((AP5+AQ5)/2)),"")</f>
        <v/>
      </c>
      <c r="BG5" t="n">
        <v>0.07234520209373854</v>
      </c>
      <c r="BH5">
        <f>IF(AND(BF5="",BG5=""),"",IF(OR(BF5="",BG5=""),"불일치",IF(ABS(BF5-BG5)&lt;=MAX(1,ABS(BG5))*1E-9,"일치","불일치")))</f>
        <v/>
      </c>
      <c r="BI5" s="9">
        <f>IFERROR(AA5/((AR5+AS5)/2),"")</f>
        <v/>
      </c>
      <c r="BK5">
        <f>IF(AND(BI5="",BJ5=""),"",IF(OR(BI5="",BJ5=""),"불일치",IF(ABS(BI5-BJ5)&lt;=MAX(1,ABS(BJ5))*1E-9,"일치","불일치")))</f>
        <v/>
      </c>
      <c r="BL5" s="9">
        <f>IFERROR(E5+AT5-AV5-AX5,"")</f>
        <v/>
      </c>
      <c r="BM5" t="n">
        <v>22701624882258</v>
      </c>
      <c r="BN5">
        <f>IF(AND(BL5="",BM5=""),"",IF(OR(BL5="",BM5=""),"불일치",IF(ABS(BL5-BM5)&lt;=MAX(1,ABS(BM5))*1E-9,"일치","불일치")))</f>
        <v/>
      </c>
      <c r="BO5" s="9">
        <f>IFERROR(IF(OR(BL5&lt;=0,BL5&lt;0.1*E5),"",AG5/BL5),"")</f>
        <v/>
      </c>
      <c r="BP5" t="n">
        <v>0.09881891150682545</v>
      </c>
      <c r="BQ5">
        <f>IF(AND(BO5="",BP5=""),"",IF(OR(BO5="",BP5=""),"불일치",IF(ABS(BO5-BP5)&lt;=MAX(1,ABS(BP5))*1E-9,"일치","불일치")))</f>
        <v/>
      </c>
      <c r="BR5" s="9">
        <f>IFERROR(IF(O5&lt;=0,"",AM5/O5),"")</f>
        <v/>
      </c>
      <c r="BS5" t="n">
        <v>1.667927729213665</v>
      </c>
      <c r="BT5">
        <f>IF(AND(BR5="",BS5=""),"",IF(OR(BR5="",BS5=""),"불일치",IF(ABS(BR5-BS5)&lt;=MAX(1,ABS(BS5))*1E-9,"일치","불일치")))</f>
        <v/>
      </c>
    </row>
    <row r="6">
      <c r="A6" t="inlineStr">
        <is>
          <t>LG화학</t>
        </is>
      </c>
      <c r="B6" t="inlineStr">
        <is>
          <t>051910</t>
        </is>
      </c>
      <c r="C6" t="inlineStr">
        <is>
          <t>2026Q2</t>
        </is>
      </c>
      <c r="D6" t="inlineStr">
        <is>
          <t>CFS</t>
        </is>
      </c>
      <c r="E6" t="n">
        <v>17388975346900</v>
      </c>
      <c r="F6" s="5" t="n">
        <v>-234766000000</v>
      </c>
      <c r="G6" s="5" t="n">
        <v>-1819449000000</v>
      </c>
      <c r="H6" s="5" t="n">
        <v>-541904000000</v>
      </c>
      <c r="I6" s="9">
        <f>IF(OR(F6="",G6="",H6=""),"",F6+G6-H6)</f>
        <v/>
      </c>
      <c r="J6" t="n">
        <v>-1512311000000</v>
      </c>
      <c r="K6">
        <f>IF(AND(I6="",J6=""),"",IF(OR(I6="",J6=""),"불일치",IF(ABS(I6-J6)&lt;=MAX(1,ABS(J6))*1E-9,"일치","불일치")))</f>
        <v/>
      </c>
      <c r="L6" s="5" t="n">
        <v>-715104000000</v>
      </c>
      <c r="M6" s="5" t="n">
        <v>-977063000000</v>
      </c>
      <c r="N6" s="5" t="n">
        <v>148485000000</v>
      </c>
      <c r="O6" s="9">
        <f>IF(OR(L6="",M6="",N6=""),"",L6+M6-N6)</f>
        <v/>
      </c>
      <c r="P6" t="n">
        <v>-1840652000000</v>
      </c>
      <c r="Q6">
        <f>IF(AND(O6="",P6=""),"",IF(OR(O6="",P6=""),"불일치",IF(ABS(O6-P6)&lt;=MAX(1,ABS(P6))*1E-9,"일치","불일치")))</f>
        <v/>
      </c>
      <c r="R6" s="5" t="n">
        <v>26422690000000</v>
      </c>
      <c r="S6" s="5" t="n">
        <v>45932167000000</v>
      </c>
      <c r="T6" s="5" t="n">
        <v>23538863000000</v>
      </c>
      <c r="U6" s="9">
        <f>IF(OR(R6="",S6="",T6=""),"",R6+S6-T6)</f>
        <v/>
      </c>
      <c r="V6" t="n">
        <v>48815994000000</v>
      </c>
      <c r="W6">
        <f>IF(AND(U6="",V6=""),"",IF(OR(U6="",V6=""),"불일치",IF(ABS(U6-V6)&lt;=MAX(1,ABS(V6))*1E-9,"일치","불일치")))</f>
        <v/>
      </c>
      <c r="X6" s="5" t="n">
        <v>5310720000000</v>
      </c>
      <c r="Y6" s="5" t="n">
        <v>7809460000000</v>
      </c>
      <c r="Z6" s="5" t="n">
        <v>3920184000000</v>
      </c>
      <c r="AA6" s="9">
        <f>IF(OR(X6="",Y6="",Z6=""),"",X6+Y6-Z6)</f>
        <v/>
      </c>
      <c r="AB6" t="n">
        <v>9199996000000</v>
      </c>
      <c r="AC6">
        <f>IF(AND(AA6="",AB6=""),"",IF(OR(AA6="",AB6=""),"불일치",IF(ABS(AA6-AB6)&lt;=MAX(1,ABS(AB6))*1E-9,"일치","불일치")))</f>
        <v/>
      </c>
      <c r="AD6" s="5" t="n">
        <v>549897000000</v>
      </c>
      <c r="AE6" s="5" t="n">
        <v>1180900000000</v>
      </c>
      <c r="AF6" s="5" t="n">
        <v>914450000000</v>
      </c>
      <c r="AG6" s="9">
        <f>IF(OR(AD6="",AE6="",AF6=""),"",AD6+AE6-AF6)</f>
        <v/>
      </c>
      <c r="AH6" t="n">
        <v>816347000000</v>
      </c>
      <c r="AI6">
        <f>IF(AND(AG6="",AH6=""),"",IF(OR(AG6="",AH6=""),"불일치",IF(ABS(AG6-AH6)&lt;=MAX(1,ABS(AH6))*1E-9,"일치","불일치")))</f>
        <v/>
      </c>
      <c r="AJ6" s="5" t="n">
        <v>1167798000000</v>
      </c>
      <c r="AK6" s="5" t="n">
        <v>8233859000000</v>
      </c>
      <c r="AL6" s="5" t="n">
        <v>3229502000000</v>
      </c>
      <c r="AM6" s="9">
        <f>IF(OR(AJ6="",AK6="",AL6=""),"",AJ6+AK6-AL6)</f>
        <v/>
      </c>
      <c r="AN6" t="n">
        <v>6172155000000</v>
      </c>
      <c r="AO6">
        <f>IF(AND(AM6="",AN6=""),"",IF(OR(AM6="",AN6=""),"불일치",IF(ABS(AM6-AN6)&lt;=MAX(1,ABS(AN6))*1E-9,"일치","불일치")))</f>
        <v/>
      </c>
      <c r="AP6" s="5" t="n">
        <v>35430227000000</v>
      </c>
      <c r="AQ6" s="5" t="n">
        <v>31447235000000</v>
      </c>
      <c r="AR6" s="5" t="n">
        <v>112209782000000</v>
      </c>
      <c r="AS6" s="5" t="n">
        <v>93952004000000</v>
      </c>
      <c r="AT6" s="5" t="n">
        <v>40289225000000</v>
      </c>
      <c r="AU6" s="5" t="n">
        <v>31797555000000</v>
      </c>
      <c r="AV6" s="5" t="n">
        <v>11086639000000</v>
      </c>
      <c r="AW6" s="5" t="n">
        <v>8382552000000</v>
      </c>
      <c r="AX6" s="5" t="n">
        <v>0</v>
      </c>
      <c r="AY6" s="5" t="n">
        <v>0</v>
      </c>
      <c r="AZ6" s="9">
        <f>IFERROR(I6/E6,"")</f>
        <v/>
      </c>
      <c r="BA6" t="n">
        <v>-0.08696952924656401</v>
      </c>
      <c r="BB6">
        <f>IF(AND(AZ6="",BA6=""),"",IF(OR(AZ6="",BA6=""),"불일치",IF(ABS(AZ6-BA6)&lt;=MAX(1,ABS(BA6))*1E-9,"일치","불일치")))</f>
        <v/>
      </c>
      <c r="BC6" s="9">
        <f>IFERROR(IF(AP6&lt;=0,"",AP6/E6),"")</f>
        <v/>
      </c>
      <c r="BD6" t="n">
        <v>2.037510910975918</v>
      </c>
      <c r="BE6">
        <f>IF(AND(BC6="",BD6=""),"",IF(OR(BC6="",BD6=""),"불일치",IF(ABS(BC6-BD6)&lt;=MAX(1,ABS(BD6))*1E-9,"일치","불일치")))</f>
        <v/>
      </c>
      <c r="BF6" s="9">
        <f>IFERROR(IF(OR(AP6&lt;=0,AQ6&lt;=0),"",I6/((AP6+AQ6)/2)),"")</f>
        <v/>
      </c>
      <c r="BG6" t="n">
        <v>-0.04522632751823028</v>
      </c>
      <c r="BH6">
        <f>IF(AND(BF6="",BG6=""),"",IF(OR(BF6="",BG6=""),"불일치",IF(ABS(BF6-BG6)&lt;=MAX(1,ABS(BG6))*1E-9,"일치","불일치")))</f>
        <v/>
      </c>
      <c r="BI6" s="9">
        <f>IFERROR(AA6/((AR6+AS6)/2),"")</f>
        <v/>
      </c>
      <c r="BJ6" t="n">
        <v>0.08925025513700197</v>
      </c>
      <c r="BK6">
        <f>IF(AND(BI6="",BJ6=""),"",IF(OR(BI6="",BJ6=""),"불일치",IF(ABS(BI6-BJ6)&lt;=MAX(1,ABS(BJ6))*1E-9,"일치","불일치")))</f>
        <v/>
      </c>
      <c r="BL6" s="9">
        <f>IFERROR(E6+AT6-AV6-AX6,"")</f>
        <v/>
      </c>
      <c r="BM6" t="n">
        <v>46591561346900</v>
      </c>
      <c r="BN6">
        <f>IF(AND(BL6="",BM6=""),"",IF(OR(BL6="",BM6=""),"불일치",IF(ABS(BL6-BM6)&lt;=MAX(1,ABS(BM6))*1E-9,"일치","불일치")))</f>
        <v/>
      </c>
      <c r="BO6" s="9">
        <f>IFERROR(IF(OR(BL6&lt;=0,BL6&lt;0.1*E6),"",AG6/BL6),"")</f>
        <v/>
      </c>
      <c r="BP6" t="n">
        <v>0.01752134885375152</v>
      </c>
      <c r="BQ6">
        <f>IF(AND(BO6="",BP6=""),"",IF(OR(BO6="",BP6=""),"불일치",IF(ABS(BO6-BP6)&lt;=MAX(1,ABS(BP6))*1E-9,"일치","불일치")))</f>
        <v/>
      </c>
      <c r="BR6" s="9">
        <f>IFERROR(IF(O6&lt;=0,"",AM6/O6),"")</f>
        <v/>
      </c>
      <c r="BT6">
        <f>IF(AND(BR6="",BS6=""),"",IF(OR(BR6="",BS6=""),"불일치",IF(ABS(BR6-BS6)&lt;=MAX(1,ABS(BS6))*1E-9,"일치","불일치")))</f>
        <v/>
      </c>
    </row>
    <row r="7">
      <c r="A7" t="inlineStr">
        <is>
          <t>카카오</t>
        </is>
      </c>
      <c r="B7" t="inlineStr">
        <is>
          <t>035720</t>
        </is>
      </c>
      <c r="C7" t="inlineStr">
        <is>
          <t>2026Q2</t>
        </is>
      </c>
      <c r="D7" t="inlineStr">
        <is>
          <t>CFS</t>
        </is>
      </c>
      <c r="E7" t="n">
        <v>13046365019500</v>
      </c>
      <c r="F7" s="5" t="n">
        <v>188028656200</v>
      </c>
      <c r="G7" s="5" t="n">
        <v>491491558183</v>
      </c>
      <c r="H7" s="5" t="n">
        <v>333098744047</v>
      </c>
      <c r="I7" s="9">
        <f>IF(OR(F7="",G7="",H7=""),"",F7+G7-H7)</f>
        <v/>
      </c>
      <c r="J7" t="n">
        <v>346421470336</v>
      </c>
      <c r="K7">
        <f>IF(AND(I7="",J7=""),"",IF(OR(I7="",J7=""),"불일치",IF(ABS(I7-J7)&lt;=MAX(1,ABS(J7))*1E-9,"일치","불일치")))</f>
        <v/>
      </c>
      <c r="L7" s="5" t="n">
        <v>244816510539</v>
      </c>
      <c r="M7" s="5" t="n">
        <v>517959587282</v>
      </c>
      <c r="N7" s="5" t="n">
        <v>372149284703</v>
      </c>
      <c r="O7" s="9">
        <f>IF(OR(L7="",M7="",N7=""),"",L7+M7-N7)</f>
        <v/>
      </c>
      <c r="P7" t="n">
        <v>390626813118</v>
      </c>
      <c r="Q7">
        <f>IF(AND(O7="",P7=""),"",IF(OR(O7="",P7=""),"불일치",IF(ABS(O7-P7)&lt;=MAX(1,ABS(P7))*1E-9,"일치","불일치")))</f>
        <v/>
      </c>
      <c r="R7" s="5" t="n">
        <v>4040533247476</v>
      </c>
      <c r="S7" s="5" t="n">
        <v>8099147815086</v>
      </c>
      <c r="T7" s="5" t="n">
        <v>3892043657398</v>
      </c>
      <c r="U7" s="9">
        <f>IF(OR(R7="",S7="",T7=""),"",R7+S7-T7)</f>
        <v/>
      </c>
      <c r="V7" t="n">
        <v>8247637405164</v>
      </c>
      <c r="W7">
        <f>IF(AND(U7="",V7=""),"",IF(OR(U7="",V7=""),"불일치",IF(ABS(U7-V7)&lt;=MAX(1,ABS(V7))*1E-9,"일치","불일치")))</f>
        <v/>
      </c>
      <c r="X7" s="5" t="n"/>
      <c r="Y7" s="5" t="n"/>
      <c r="Z7" s="5" t="n"/>
      <c r="AA7" s="9">
        <f>IF(OR(X7="",Y7="",Z7=""),"",X7+Y7-Z7)</f>
        <v/>
      </c>
      <c r="AC7">
        <f>IF(AND(AA7="",AB7=""),"",IF(OR(AA7="",AB7=""),"불일치",IF(ABS(AA7-AB7)&lt;=MAX(1,ABS(AB7))*1E-9,"일치","불일치")))</f>
        <v/>
      </c>
      <c r="AD7" s="5" t="n">
        <v>488414000457</v>
      </c>
      <c r="AE7" s="5" t="n">
        <v>732036535379</v>
      </c>
      <c r="AF7" s="5" t="n">
        <v>291326822837</v>
      </c>
      <c r="AG7" s="9">
        <f>IF(OR(AD7="",AE7="",AF7=""),"",AD7+AE7-AF7)</f>
        <v/>
      </c>
      <c r="AH7" t="n">
        <v>929123712999</v>
      </c>
      <c r="AI7">
        <f>IF(AND(AG7="",AH7=""),"",IF(OR(AG7="",AH7=""),"불일치",IF(ABS(AG7-AH7)&lt;=MAX(1,ABS(AH7))*1E-9,"일치","불일치")))</f>
        <v/>
      </c>
      <c r="AJ7" s="5" t="n">
        <v>359956106356</v>
      </c>
      <c r="AK7" s="5" t="n">
        <v>1404762595727</v>
      </c>
      <c r="AL7" s="5" t="n">
        <v>623768925756</v>
      </c>
      <c r="AM7" s="9">
        <f>IF(OR(AJ7="",AK7="",AL7=""),"",AJ7+AK7-AL7)</f>
        <v/>
      </c>
      <c r="AN7" t="n">
        <v>1140949776327</v>
      </c>
      <c r="AO7">
        <f>IF(AND(AM7="",AN7=""),"",IF(OR(AM7="",AN7=""),"불일치",IF(ABS(AM7-AN7)&lt;=MAX(1,ABS(AN7))*1E-9,"일치","불일치")))</f>
        <v/>
      </c>
      <c r="AP7" s="5" t="n">
        <v>11782230191255</v>
      </c>
      <c r="AQ7" s="5" t="n">
        <v>10574934599909</v>
      </c>
      <c r="AR7" s="5" t="n">
        <v>27672994899114</v>
      </c>
      <c r="AS7" s="5" t="n">
        <v>26562575454793</v>
      </c>
      <c r="AT7" s="5" t="n">
        <v>3123738070768</v>
      </c>
      <c r="AU7" s="5" t="n">
        <v>4068940382151</v>
      </c>
      <c r="AV7" s="5" t="n">
        <v>8178055633745</v>
      </c>
      <c r="AW7" s="5" t="n">
        <v>5748547932731</v>
      </c>
      <c r="AX7" s="5" t="n">
        <v>1734900777606</v>
      </c>
      <c r="AY7" s="5" t="n">
        <v>1603292059222</v>
      </c>
      <c r="AZ7" s="9">
        <f>IFERROR(I7/E7,"")</f>
        <v/>
      </c>
      <c r="BA7" t="n">
        <v>0.02655310270854867</v>
      </c>
      <c r="BB7">
        <f>IF(AND(AZ7="",BA7=""),"",IF(OR(AZ7="",BA7=""),"불일치",IF(ABS(AZ7-BA7)&lt;=MAX(1,ABS(BA7))*1E-9,"일치","불일치")))</f>
        <v/>
      </c>
      <c r="BC7" s="9">
        <f>IFERROR(IF(AP7&lt;=0,"",AP7/E7),"")</f>
        <v/>
      </c>
      <c r="BD7" t="n">
        <v>0.9031044412481533</v>
      </c>
      <c r="BE7">
        <f>IF(AND(BC7="",BD7=""),"",IF(OR(BC7="",BD7=""),"불일치",IF(ABS(BC7-BD7)&lt;=MAX(1,ABS(BD7))*1E-9,"일치","불일치")))</f>
        <v/>
      </c>
      <c r="BF7" s="9">
        <f>IFERROR(IF(OR(AP7&lt;=0,AQ7&lt;=0),"",I7/((AP7+AQ7)/2)),"")</f>
        <v/>
      </c>
      <c r="BG7" t="n">
        <v>0.03098974969070432</v>
      </c>
      <c r="BH7">
        <f>IF(AND(BF7="",BG7=""),"",IF(OR(BF7="",BG7=""),"불일치",IF(ABS(BF7-BG7)&lt;=MAX(1,ABS(BG7))*1E-9,"일치","불일치")))</f>
        <v/>
      </c>
      <c r="BI7" s="9">
        <f>IFERROR(AA7/((AR7+AS7)/2),"")</f>
        <v/>
      </c>
      <c r="BK7">
        <f>IF(AND(BI7="",BJ7=""),"",IF(OR(BI7="",BJ7=""),"불일치",IF(ABS(BI7-BJ7)&lt;=MAX(1,ABS(BJ7))*1E-9,"일치","불일치")))</f>
        <v/>
      </c>
      <c r="BL7" s="9">
        <f>IFERROR(E7+AT7-AV7-AX7,"")</f>
        <v/>
      </c>
      <c r="BM7" t="n">
        <v>6257146678917</v>
      </c>
      <c r="BN7">
        <f>IF(AND(BL7="",BM7=""),"",IF(OR(BL7="",BM7=""),"불일치",IF(ABS(BL7-BM7)&lt;=MAX(1,ABS(BM7))*1E-9,"일치","불일치")))</f>
        <v/>
      </c>
      <c r="BO7" s="9">
        <f>IFERROR(IF(OR(BL7&lt;=0,BL7&lt;0.1*E7),"",AG7/BL7),"")</f>
        <v/>
      </c>
      <c r="BP7" t="n">
        <v>0.1484900004229747</v>
      </c>
      <c r="BQ7">
        <f>IF(AND(BO7="",BP7=""),"",IF(OR(BO7="",BP7=""),"불일치",IF(ABS(BO7-BP7)&lt;=MAX(1,ABS(BP7))*1E-9,"일치","불일치")))</f>
        <v/>
      </c>
      <c r="BR7" s="9">
        <f>IFERROR(IF(O7&lt;=0,"",AM7/O7),"")</f>
        <v/>
      </c>
      <c r="BS7" t="n">
        <v>2.920817870181235</v>
      </c>
      <c r="BT7">
        <f>IF(AND(BR7="",BS7=""),"",IF(OR(BR7="",BS7=""),"불일치",IF(ABS(BR7-BS7)&lt;=MAX(1,ABS(BS7))*1E-9,"일치","불일치")))</f>
        <v/>
      </c>
    </row>
    <row r="8">
      <c r="A8" t="inlineStr">
        <is>
          <t>LG</t>
        </is>
      </c>
      <c r="B8" t="inlineStr">
        <is>
          <t>003550</t>
        </is>
      </c>
      <c r="C8" t="inlineStr">
        <is>
          <t>2026Q2</t>
        </is>
      </c>
      <c r="D8" t="inlineStr">
        <is>
          <t>CFS</t>
        </is>
      </c>
      <c r="E8" t="n">
        <v>14730762883000</v>
      </c>
      <c r="F8" s="5" t="n">
        <v>805510000000</v>
      </c>
      <c r="G8" s="5" t="n">
        <v>737248000000</v>
      </c>
      <c r="H8" s="5" t="n">
        <v>784834000000</v>
      </c>
      <c r="I8" s="9">
        <f>IF(OR(F8="",G8="",H8=""),"",F8+G8-H8)</f>
        <v/>
      </c>
      <c r="J8" t="n">
        <v>757924000000</v>
      </c>
      <c r="K8">
        <f>IF(AND(I8="",J8=""),"",IF(OR(I8="",J8=""),"불일치",IF(ABS(I8-J8)&lt;=MAX(1,ABS(J8))*1E-9,"일치","불일치")))</f>
        <v/>
      </c>
      <c r="L8" s="5" t="n">
        <v>912803000000</v>
      </c>
      <c r="M8" s="5" t="n">
        <v>1000121000000</v>
      </c>
      <c r="N8" s="5" t="n">
        <v>852645000000</v>
      </c>
      <c r="O8" s="9">
        <f>IF(OR(L8="",M8="",N8=""),"",L8+M8-N8)</f>
        <v/>
      </c>
      <c r="P8" t="n">
        <v>1060279000000</v>
      </c>
      <c r="Q8">
        <f>IF(AND(O8="",P8=""),"",IF(OR(O8="",P8=""),"불일치",IF(ABS(O8-P8)&lt;=MAX(1,ABS(P8))*1E-9,"일치","불일치")))</f>
        <v/>
      </c>
      <c r="R8" s="5" t="n">
        <v>3940245000000</v>
      </c>
      <c r="S8" s="5" t="n">
        <v>7252547000000</v>
      </c>
      <c r="T8" s="5" t="n">
        <v>3733846000000</v>
      </c>
      <c r="U8" s="9">
        <f>IF(OR(R8="",S8="",T8=""),"",R8+S8-T8)</f>
        <v/>
      </c>
      <c r="V8" t="n">
        <v>7458946000000</v>
      </c>
      <c r="W8">
        <f>IF(AND(U8="",V8=""),"",IF(OR(U8="",V8=""),"불일치",IF(ABS(U8-V8)&lt;=MAX(1,ABS(V8))*1E-9,"일치","불일치")))</f>
        <v/>
      </c>
      <c r="X8" s="5" t="n">
        <v>1157087000000</v>
      </c>
      <c r="Y8" s="5" t="n">
        <v>1353734000000</v>
      </c>
      <c r="Z8" s="5" t="n">
        <v>1112265000000</v>
      </c>
      <c r="AA8" s="9">
        <f>IF(OR(X8="",Y8="",Z8=""),"",X8+Y8-Z8)</f>
        <v/>
      </c>
      <c r="AB8" t="n">
        <v>1398556000000</v>
      </c>
      <c r="AC8">
        <f>IF(AND(AA8="",AB8=""),"",IF(OR(AA8="",AB8=""),"불일치",IF(ABS(AA8-AB8)&lt;=MAX(1,ABS(AB8))*1E-9,"일치","불일치")))</f>
        <v/>
      </c>
      <c r="AD8" s="5" t="n">
        <v>946808000000</v>
      </c>
      <c r="AE8" s="5" t="n">
        <v>912174000000</v>
      </c>
      <c r="AF8" s="5" t="n">
        <v>914931000000</v>
      </c>
      <c r="AG8" s="9">
        <f>IF(OR(AD8="",AE8="",AF8=""),"",AD8+AE8-AF8)</f>
        <v/>
      </c>
      <c r="AH8" t="n">
        <v>944051000000</v>
      </c>
      <c r="AI8">
        <f>IF(AND(AG8="",AH8=""),"",IF(OR(AG8="",AH8=""),"불일치",IF(ABS(AG8-AH8)&lt;=MAX(1,ABS(AH8))*1E-9,"일치","불일치")))</f>
        <v/>
      </c>
      <c r="AJ8" s="5" t="n">
        <v>531959000000</v>
      </c>
      <c r="AK8" s="5" t="n">
        <v>1015114000000</v>
      </c>
      <c r="AL8" s="5" t="n">
        <v>479305000000</v>
      </c>
      <c r="AM8" s="9">
        <f>IF(OR(AJ8="",AK8="",AL8=""),"",AJ8+AK8-AL8)</f>
        <v/>
      </c>
      <c r="AN8" t="n">
        <v>1067768000000</v>
      </c>
      <c r="AO8">
        <f>IF(AND(AM8="",AN8=""),"",IF(OR(AM8="",AN8=""),"불일치",IF(ABS(AM8-AN8)&lt;=MAX(1,ABS(AN8))*1E-9,"일치","불일치")))</f>
        <v/>
      </c>
      <c r="AP8" s="5" t="n">
        <v>31035798000000</v>
      </c>
      <c r="AQ8" s="5" t="n">
        <v>27092817000000</v>
      </c>
      <c r="AR8" s="5" t="n">
        <v>35931460000000</v>
      </c>
      <c r="AS8" s="5" t="n">
        <v>31461920000000</v>
      </c>
      <c r="AT8" s="5" t="n">
        <v>585765000000</v>
      </c>
      <c r="AU8" s="5" t="n">
        <v>663691000000</v>
      </c>
      <c r="AV8" s="5" t="n">
        <v>871844000000</v>
      </c>
      <c r="AW8" s="5" t="n">
        <v>1687295000000</v>
      </c>
      <c r="AX8" s="5" t="n">
        <v>2256947000000</v>
      </c>
      <c r="AY8" s="5" t="n">
        <v>947384000000</v>
      </c>
      <c r="AZ8" s="9">
        <f>IFERROR(I8/E8,"")</f>
        <v/>
      </c>
      <c r="BA8" t="n">
        <v>0.05145178196267624</v>
      </c>
      <c r="BB8">
        <f>IF(AND(AZ8="",BA8=""),"",IF(OR(AZ8="",BA8=""),"불일치",IF(ABS(AZ8-BA8)&lt;=MAX(1,ABS(BA8))*1E-9,"일치","불일치")))</f>
        <v/>
      </c>
      <c r="BC8" s="9">
        <f>IFERROR(IF(AP8&lt;=0,"",AP8/E8),"")</f>
        <v/>
      </c>
      <c r="BD8" t="n">
        <v>2.106869701623993</v>
      </c>
      <c r="BE8">
        <f>IF(AND(BC8="",BD8=""),"",IF(OR(BC8="",BD8=""),"불일치",IF(ABS(BC8-BD8)&lt;=MAX(1,ABS(BD8))*1E-9,"일치","불일치")))</f>
        <v/>
      </c>
      <c r="BF8" s="9">
        <f>IFERROR(IF(OR(AP8&lt;=0,AQ8&lt;=0),"",I8/((AP8+AQ8)/2)),"")</f>
        <v/>
      </c>
      <c r="BG8" t="n">
        <v>0.02607748352511065</v>
      </c>
      <c r="BH8">
        <f>IF(AND(BF8="",BG8=""),"",IF(OR(BF8="",BG8=""),"불일치",IF(ABS(BF8-BG8)&lt;=MAX(1,ABS(BG8))*1E-9,"일치","불일치")))</f>
        <v/>
      </c>
      <c r="BI8" s="9">
        <f>IFERROR(AA8/((AR8+AS8)/2),"")</f>
        <v/>
      </c>
      <c r="BJ8" t="n">
        <v>0.04150425457218498</v>
      </c>
      <c r="BK8">
        <f>IF(AND(BI8="",BJ8=""),"",IF(OR(BI8="",BJ8=""),"불일치",IF(ABS(BI8-BJ8)&lt;=MAX(1,ABS(BJ8))*1E-9,"일치","불일치")))</f>
        <v/>
      </c>
      <c r="BL8" s="9">
        <f>IFERROR(E8+AT8-AV8-AX8,"")</f>
        <v/>
      </c>
      <c r="BM8" t="n">
        <v>12187736883000</v>
      </c>
      <c r="BN8">
        <f>IF(AND(BL8="",BM8=""),"",IF(OR(BL8="",BM8=""),"불일치",IF(ABS(BL8-BM8)&lt;=MAX(1,ABS(BM8))*1E-9,"일치","불일치")))</f>
        <v/>
      </c>
      <c r="BO8" s="9">
        <f>IFERROR(IF(OR(BL8&lt;=0,BL8&lt;0.1*E8),"",AG8/BL8),"")</f>
        <v/>
      </c>
      <c r="BP8" t="n">
        <v>0.07745908933403416</v>
      </c>
      <c r="BQ8">
        <f>IF(AND(BO8="",BP8=""),"",IF(OR(BO8="",BP8=""),"불일치",IF(ABS(BO8-BP8)&lt;=MAX(1,ABS(BP8))*1E-9,"일치","불일치")))</f>
        <v/>
      </c>
      <c r="BR8" s="9">
        <f>IFERROR(IF(O8&lt;=0,"",AM8/O8),"")</f>
        <v/>
      </c>
      <c r="BS8" t="n">
        <v>1.007063235242799</v>
      </c>
      <c r="BT8">
        <f>IF(AND(BR8="",BS8=""),"",IF(OR(BR8="",BS8=""),"불일치",IF(ABS(BR8-BS8)&lt;=MAX(1,ABS(BS8))*1E-9,"일치","불일치")))</f>
        <v/>
      </c>
    </row>
    <row r="9">
      <c r="A9" t="inlineStr">
        <is>
          <t>SK</t>
        </is>
      </c>
      <c r="B9" t="inlineStr">
        <is>
          <t>034730</t>
        </is>
      </c>
      <c r="C9" t="inlineStr">
        <is>
          <t>2026Q2</t>
        </is>
      </c>
      <c r="D9" t="inlineStr">
        <is>
          <t>CFS</t>
        </is>
      </c>
      <c r="E9" t="n">
        <v>36468859609000</v>
      </c>
      <c r="F9" s="5" t="n">
        <v>9344993000000</v>
      </c>
      <c r="G9" s="5" t="n">
        <v>1597498000000</v>
      </c>
      <c r="H9" s="5" t="n">
        <v>2896643000000</v>
      </c>
      <c r="I9" s="9">
        <f>IF(OR(F9="",G9="",H9=""),"",F9+G9-H9)</f>
        <v/>
      </c>
      <c r="J9" t="n">
        <v>8045848000000</v>
      </c>
      <c r="K9">
        <f>IF(AND(I9="",J9=""),"",IF(OR(I9="",J9=""),"불일치",IF(ABS(I9-J9)&lt;=MAX(1,ABS(J9))*1E-9,"일치","불일치")))</f>
        <v/>
      </c>
      <c r="L9" s="5" t="n">
        <v>29014813000000</v>
      </c>
      <c r="M9" s="5" t="n">
        <v>3555246000000</v>
      </c>
      <c r="N9" s="5" t="n">
        <v>4567523000000</v>
      </c>
      <c r="O9" s="9">
        <f>IF(OR(L9="",M9="",N9=""),"",L9+M9-N9)</f>
        <v/>
      </c>
      <c r="P9" t="n">
        <v>28002536000000</v>
      </c>
      <c r="Q9">
        <f>IF(AND(O9="",P9=""),"",IF(OR(O9="",P9=""),"불일치",IF(ABS(O9-P9)&lt;=MAX(1,ABS(P9))*1E-9,"일치","불일치")))</f>
        <v/>
      </c>
      <c r="R9" s="5" t="n">
        <v>78954891000000</v>
      </c>
      <c r="S9" s="5" t="n">
        <v>122703338000000</v>
      </c>
      <c r="T9" s="5" t="n">
        <v>61371896000000</v>
      </c>
      <c r="U9" s="9">
        <f>IF(OR(R9="",S9="",T9=""),"",R9+S9-T9)</f>
        <v/>
      </c>
      <c r="V9" t="n">
        <v>140286333000000</v>
      </c>
      <c r="W9">
        <f>IF(AND(U9="",V9=""),"",IF(OR(U9="",V9=""),"불일치",IF(ABS(U9-V9)&lt;=MAX(1,ABS(V9))*1E-9,"일치","불일치")))</f>
        <v/>
      </c>
      <c r="X9" s="5" t="n">
        <v>12774073000000</v>
      </c>
      <c r="Y9" s="5" t="n">
        <v>9587910000000</v>
      </c>
      <c r="Z9" s="5" t="n">
        <v>4317741000000</v>
      </c>
      <c r="AA9" s="9">
        <f>IF(OR(X9="",Y9="",Z9=""),"",X9+Y9-Z9)</f>
        <v/>
      </c>
      <c r="AB9" t="n">
        <v>18044242000000</v>
      </c>
      <c r="AC9">
        <f>IF(AND(AA9="",AB9=""),"",IF(OR(AA9="",AB9=""),"불일치",IF(ABS(AA9-AB9)&lt;=MAX(1,ABS(AB9))*1E-9,"일치","불일치")))</f>
        <v/>
      </c>
      <c r="AD9" s="5" t="n">
        <v>8514366000000</v>
      </c>
      <c r="AE9" s="5" t="n">
        <v>1818476000000</v>
      </c>
      <c r="AF9" s="5" t="n">
        <v>599335000000</v>
      </c>
      <c r="AG9" s="9">
        <f>IF(OR(AD9="",AE9="",AF9=""),"",AD9+AE9-AF9)</f>
        <v/>
      </c>
      <c r="AH9" t="n">
        <v>9733507000000</v>
      </c>
      <c r="AI9">
        <f>IF(AND(AG9="",AH9=""),"",IF(OR(AG9="",AH9=""),"불일치",IF(ABS(AG9-AH9)&lt;=MAX(1,ABS(AH9))*1E-9,"일치","불일치")))</f>
        <v/>
      </c>
      <c r="AJ9" s="5" t="n">
        <v>4607594000000</v>
      </c>
      <c r="AK9" s="5" t="n">
        <v>6098798000000</v>
      </c>
      <c r="AL9" s="5" t="n">
        <v>2759310000000</v>
      </c>
      <c r="AM9" s="9">
        <f>IF(OR(AJ9="",AK9="",AL9=""),"",AJ9+AK9-AL9)</f>
        <v/>
      </c>
      <c r="AN9" t="n">
        <v>7947082000000</v>
      </c>
      <c r="AO9">
        <f>IF(AND(AM9="",AN9=""),"",IF(OR(AM9="",AN9=""),"불일치",IF(ABS(AM9-AN9)&lt;=MAX(1,ABS(AN9))*1E-9,"일치","불일치")))</f>
        <v/>
      </c>
      <c r="AP9" s="5" t="n">
        <v>37194940000000</v>
      </c>
      <c r="AQ9" s="5" t="n">
        <v>26144793000000</v>
      </c>
      <c r="AR9" s="5" t="n">
        <v>244883396000000</v>
      </c>
      <c r="AS9" s="5" t="n">
        <v>206385526000000</v>
      </c>
      <c r="AT9" s="5" t="n">
        <v>72211754000000</v>
      </c>
      <c r="AU9" s="5" t="n">
        <v>82473213000000</v>
      </c>
      <c r="AV9" s="5" t="n">
        <v>23838582000000</v>
      </c>
      <c r="AW9" s="5" t="n">
        <v>21494710000000</v>
      </c>
      <c r="AX9" s="5" t="n">
        <v>3616739000000</v>
      </c>
      <c r="AY9" s="5" t="n">
        <v>3845079000000</v>
      </c>
      <c r="AZ9" s="9">
        <f>IFERROR(I9/E9,"")</f>
        <v/>
      </c>
      <c r="BA9" t="n">
        <v>0.2206224183114955</v>
      </c>
      <c r="BB9">
        <f>IF(AND(AZ9="",BA9=""),"",IF(OR(AZ9="",BA9=""),"불일치",IF(ABS(AZ9-BA9)&lt;=MAX(1,ABS(BA9))*1E-9,"일치","불일치")))</f>
        <v/>
      </c>
      <c r="BC9" s="9">
        <f>IFERROR(IF(AP9&lt;=0,"",AP9/E9),"")</f>
        <v/>
      </c>
      <c r="BD9" t="n">
        <v>1.019909599553829</v>
      </c>
      <c r="BE9">
        <f>IF(AND(BC9="",BD9=""),"",IF(OR(BC9="",BD9=""),"불일치",IF(ABS(BC9-BD9)&lt;=MAX(1,ABS(BD9))*1E-9,"일치","불일치")))</f>
        <v/>
      </c>
      <c r="BF9" s="9">
        <f>IFERROR(IF(OR(AP9&lt;=0,AQ9&lt;=0),"",I9/((AP9+AQ9)/2)),"")</f>
        <v/>
      </c>
      <c r="BG9" t="n">
        <v>0.2540537390645458</v>
      </c>
      <c r="BH9">
        <f>IF(AND(BF9="",BG9=""),"",IF(OR(BF9="",BG9=""),"불일치",IF(ABS(BF9-BG9)&lt;=MAX(1,ABS(BG9))*1E-9,"일치","불일치")))</f>
        <v/>
      </c>
      <c r="BI9" s="9">
        <f>IFERROR(AA9/((AR9+AS9)/2),"")</f>
        <v/>
      </c>
      <c r="BJ9" t="n">
        <v>0.07997112639633536</v>
      </c>
      <c r="BK9">
        <f>IF(AND(BI9="",BJ9=""),"",IF(OR(BI9="",BJ9=""),"불일치",IF(ABS(BI9-BJ9)&lt;=MAX(1,ABS(BJ9))*1E-9,"일치","불일치")))</f>
        <v/>
      </c>
      <c r="BL9" s="9">
        <f>IFERROR(E9+AT9-AV9-AX9,"")</f>
        <v/>
      </c>
      <c r="BM9" t="n">
        <v>81225292609000</v>
      </c>
      <c r="BN9">
        <f>IF(AND(BL9="",BM9=""),"",IF(OR(BL9="",BM9=""),"불일치",IF(ABS(BL9-BM9)&lt;=MAX(1,ABS(BM9))*1E-9,"일치","불일치")))</f>
        <v/>
      </c>
      <c r="BO9" s="9">
        <f>IFERROR(IF(OR(BL9&lt;=0,BL9&lt;0.1*E9),"",AG9/BL9),"")</f>
        <v/>
      </c>
      <c r="BP9" t="n">
        <v>0.1198334495002053</v>
      </c>
      <c r="BQ9">
        <f>IF(AND(BO9="",BP9=""),"",IF(OR(BO9="",BP9=""),"불일치",IF(ABS(BO9-BP9)&lt;=MAX(1,ABS(BP9))*1E-9,"일치","불일치")))</f>
        <v/>
      </c>
      <c r="BR9" s="9">
        <f>IFERROR(IF(O9&lt;=0,"",AM9/O9),"")</f>
        <v/>
      </c>
      <c r="BS9" t="n">
        <v>0.2837986530934198</v>
      </c>
      <c r="BT9">
        <f>IF(AND(BR9="",BS9=""),"",IF(OR(BR9="",BS9=""),"불일치",IF(ABS(BR9-BS9)&lt;=MAX(1,ABS(BS9))*1E-9,"일치","불일치")))</f>
        <v/>
      </c>
    </row>
    <row r="10">
      <c r="A10" t="inlineStr">
        <is>
          <t>한주라이트메탈</t>
        </is>
      </c>
      <c r="B10" t="inlineStr">
        <is>
          <t>198940</t>
        </is>
      </c>
      <c r="C10" t="inlineStr">
        <is>
          <t>2026Q2</t>
        </is>
      </c>
      <c r="D10" t="inlineStr">
        <is>
          <t>CFS</t>
        </is>
      </c>
      <c r="E10" t="n">
        <v>23702598817</v>
      </c>
      <c r="F10" s="5" t="n">
        <v>716755534</v>
      </c>
      <c r="G10" s="5" t="n">
        <v>-2741692510</v>
      </c>
      <c r="H10" s="5" t="n">
        <v>-113861141</v>
      </c>
      <c r="I10" s="9">
        <f>IF(OR(F10="",G10="",H10=""),"",F10+G10-H10)</f>
        <v/>
      </c>
      <c r="J10" t="n">
        <v>-1911075835</v>
      </c>
      <c r="K10">
        <f>IF(AND(I10="",J10=""),"",IF(OR(I10="",J10=""),"불일치",IF(ABS(I10-J10)&lt;=MAX(1,ABS(J10))*1E-9,"일치","불일치")))</f>
        <v/>
      </c>
      <c r="L10" s="5" t="n">
        <v>716755534</v>
      </c>
      <c r="M10" s="5" t="n">
        <v>-2741692510</v>
      </c>
      <c r="N10" s="5" t="n">
        <v>-113861141</v>
      </c>
      <c r="O10" s="9">
        <f>IF(OR(L10="",M10="",N10=""),"",L10+M10-N10)</f>
        <v/>
      </c>
      <c r="P10" t="n">
        <v>-1911075835</v>
      </c>
      <c r="Q10">
        <f>IF(AND(O10="",P10=""),"",IF(OR(O10="",P10=""),"불일치",IF(ABS(O10-P10)&lt;=MAX(1,ABS(P10))*1E-9,"일치","불일치")))</f>
        <v/>
      </c>
      <c r="R10" s="5" t="n">
        <v>135695919811</v>
      </c>
      <c r="S10" s="5" t="n">
        <v>259464652455</v>
      </c>
      <c r="T10" s="5" t="n">
        <v>135325665657</v>
      </c>
      <c r="U10" s="9">
        <f>IF(OR(R10="",S10="",T10=""),"",R10+S10-T10)</f>
        <v/>
      </c>
      <c r="V10" t="n">
        <v>259834906609</v>
      </c>
      <c r="W10">
        <f>IF(AND(U10="",V10=""),"",IF(OR(U10="",V10=""),"불일치",IF(ABS(U10-V10)&lt;=MAX(1,ABS(V10))*1E-9,"일치","불일치")))</f>
        <v/>
      </c>
      <c r="X10" s="5" t="n">
        <v>8104740848</v>
      </c>
      <c r="Y10" s="5" t="n">
        <v>11678757305</v>
      </c>
      <c r="Z10" s="5" t="n">
        <v>8763639563</v>
      </c>
      <c r="AA10" s="9">
        <f>IF(OR(X10="",Y10="",Z10=""),"",X10+Y10-Z10)</f>
        <v/>
      </c>
      <c r="AB10" t="n">
        <v>11019858590</v>
      </c>
      <c r="AC10">
        <f>IF(AND(AA10="",AB10=""),"",IF(OR(AA10="",AB10=""),"불일치",IF(ABS(AA10-AB10)&lt;=MAX(1,ABS(AB10))*1E-9,"일치","불일치")))</f>
        <v/>
      </c>
      <c r="AD10" s="5" t="n">
        <v>3822138288</v>
      </c>
      <c r="AE10" s="5" t="n">
        <v>1333662111</v>
      </c>
      <c r="AF10" s="5" t="n">
        <v>4393909052</v>
      </c>
      <c r="AG10" s="9">
        <f>IF(OR(AD10="",AE10="",AF10=""),"",AD10+AE10-AF10)</f>
        <v/>
      </c>
      <c r="AH10" t="n">
        <v>761891347</v>
      </c>
      <c r="AI10">
        <f>IF(AND(AG10="",AH10=""),"",IF(OR(AG10="",AH10=""),"불일치",IF(ABS(AG10-AH10)&lt;=MAX(1,ABS(AH10))*1E-9,"일치","불일치")))</f>
        <v/>
      </c>
      <c r="AJ10" s="5" t="n">
        <v>-17538895506</v>
      </c>
      <c r="AK10" s="5" t="n">
        <v>11627330062</v>
      </c>
      <c r="AL10" s="5" t="n">
        <v>-3441190272</v>
      </c>
      <c r="AM10" s="9">
        <f>IF(OR(AJ10="",AK10="",AL10=""),"",AJ10+AK10-AL10)</f>
        <v/>
      </c>
      <c r="AN10" t="n">
        <v>-2470375172</v>
      </c>
      <c r="AO10">
        <f>IF(AND(AM10="",AN10=""),"",IF(OR(AM10="",AN10=""),"불일치",IF(ABS(AM10-AN10)&lt;=MAX(1,ABS(AN10))*1E-9,"일치","불일치")))</f>
        <v/>
      </c>
      <c r="AP10" s="5" t="n">
        <v>48295311206</v>
      </c>
      <c r="AQ10" s="5" t="n">
        <v>48758181161</v>
      </c>
      <c r="AR10" s="5" t="n">
        <v>217097585584</v>
      </c>
      <c r="AS10" s="5" t="n">
        <v>217262765598</v>
      </c>
      <c r="AT10" s="5" t="n">
        <v>83576743233</v>
      </c>
      <c r="AU10" s="5" t="n">
        <v>96189239830</v>
      </c>
      <c r="AV10" s="5" t="n">
        <v>6217797610</v>
      </c>
      <c r="AW10" s="5" t="n">
        <v>16280580527</v>
      </c>
      <c r="AX10" s="5" t="n">
        <v>1568000000</v>
      </c>
      <c r="AY10" s="5" t="n">
        <v>1568000000</v>
      </c>
      <c r="AZ10" s="9">
        <f>IFERROR(I10/E10,"")</f>
        <v/>
      </c>
      <c r="BA10" t="n">
        <v>-0.08062727002025349</v>
      </c>
      <c r="BB10">
        <f>IF(AND(AZ10="",BA10=""),"",IF(OR(AZ10="",BA10=""),"불일치",IF(ABS(AZ10-BA10)&lt;=MAX(1,ABS(BA10))*1E-9,"일치","불일치")))</f>
        <v/>
      </c>
      <c r="BC10" s="9">
        <f>IFERROR(IF(AP10&lt;=0,"",AP10/E10),"")</f>
        <v/>
      </c>
      <c r="BD10" t="n">
        <v>2.037553416773927</v>
      </c>
      <c r="BE10">
        <f>IF(AND(BC10="",BD10=""),"",IF(OR(BC10="",BD10=""),"불일치",IF(ABS(BC10-BD10)&lt;=MAX(1,ABS(BD10))*1E-9,"일치","불일치")))</f>
        <v/>
      </c>
      <c r="BF10" s="9">
        <f>IFERROR(IF(OR(AP10&lt;=0,AQ10&lt;=0),"",I10/((AP10+AQ10)/2)),"")</f>
        <v/>
      </c>
      <c r="BG10" t="n">
        <v>-0.0393819076138635</v>
      </c>
      <c r="BH10">
        <f>IF(AND(BF10="",BG10=""),"",IF(OR(BF10="",BG10=""),"불일치",IF(ABS(BF10-BG10)&lt;=MAX(1,ABS(BG10))*1E-9,"일치","불일치")))</f>
        <v/>
      </c>
      <c r="BI10" s="9">
        <f>IFERROR(AA10/((AR10+AS10)/2),"")</f>
        <v/>
      </c>
      <c r="BJ10" t="n">
        <v>0.05074062842067555</v>
      </c>
      <c r="BK10">
        <f>IF(AND(BI10="",BJ10=""),"",IF(OR(BI10="",BJ10=""),"불일치",IF(ABS(BI10-BJ10)&lt;=MAX(1,ABS(BJ10))*1E-9,"일치","불일치")))</f>
        <v/>
      </c>
      <c r="BL10" s="9">
        <f>IFERROR(E10+AT10-AV10-AX10,"")</f>
        <v/>
      </c>
      <c r="BM10" t="n">
        <v>99493544440</v>
      </c>
      <c r="BN10">
        <f>IF(AND(BL10="",BM10=""),"",IF(OR(BL10="",BM10=""),"불일치",IF(ABS(BL10-BM10)&lt;=MAX(1,ABS(BM10))*1E-9,"일치","불일치")))</f>
        <v/>
      </c>
      <c r="BO10" s="9">
        <f>IFERROR(IF(OR(BL10&lt;=0,BL10&lt;0.1*E10),"",AG10/BL10),"")</f>
        <v/>
      </c>
      <c r="BP10" t="n">
        <v>0.007657696298672541</v>
      </c>
      <c r="BQ10">
        <f>IF(AND(BO10="",BP10=""),"",IF(OR(BO10="",BP10=""),"불일치",IF(ABS(BO10-BP10)&lt;=MAX(1,ABS(BP10))*1E-9,"일치","불일치")))</f>
        <v/>
      </c>
      <c r="BR10" s="9">
        <f>IFERROR(IF(O10&lt;=0,"",AM10/O10),"")</f>
        <v/>
      </c>
      <c r="BT10">
        <f>IF(AND(BR10="",BS10=""),"",IF(OR(BR10="",BS10=""),"불일치",IF(ABS(BR10-BS10)&lt;=MAX(1,ABS(BS10))*1E-9,"일치","불일치")))</f>
        <v/>
      </c>
    </row>
    <row r="11">
      <c r="A11" t="inlineStr">
        <is>
          <t>메쎄이상</t>
        </is>
      </c>
      <c r="B11" t="inlineStr">
        <is>
          <t>408920</t>
        </is>
      </c>
      <c r="C11" t="inlineStr">
        <is>
          <t>2026Q2</t>
        </is>
      </c>
      <c r="D11" t="inlineStr">
        <is>
          <t>CFS</t>
        </is>
      </c>
      <c r="E11" t="n">
        <v>124077145850</v>
      </c>
      <c r="F11" s="5" t="n">
        <v>9977068365</v>
      </c>
      <c r="G11" s="5" t="n">
        <v>15505496859</v>
      </c>
      <c r="H11" s="5" t="n">
        <v>8061177246</v>
      </c>
      <c r="I11" s="9">
        <f>IF(OR(F11="",G11="",H11=""),"",F11+G11-H11)</f>
        <v/>
      </c>
      <c r="J11" t="n">
        <v>17421387978</v>
      </c>
      <c r="K11">
        <f>IF(AND(I11="",J11=""),"",IF(OR(I11="",J11=""),"불일치",IF(ABS(I11-J11)&lt;=MAX(1,ABS(J11))*1E-9,"일치","불일치")))</f>
        <v/>
      </c>
      <c r="L11" s="5" t="n">
        <v>9963934103</v>
      </c>
      <c r="M11" s="5" t="n">
        <v>15474045546</v>
      </c>
      <c r="N11" s="5" t="n">
        <v>8038326713</v>
      </c>
      <c r="O11" s="9">
        <f>IF(OR(L11="",M11="",N11=""),"",L11+M11-N11)</f>
        <v/>
      </c>
      <c r="P11" t="n">
        <v>17399652936</v>
      </c>
      <c r="Q11">
        <f>IF(AND(O11="",P11=""),"",IF(OR(O11="",P11=""),"불일치",IF(ABS(O11-P11)&lt;=MAX(1,ABS(P11))*1E-9,"일치","불일치")))</f>
        <v/>
      </c>
      <c r="R11" s="5" t="n">
        <v>35949028477</v>
      </c>
      <c r="S11" s="5" t="n">
        <v>72822323336</v>
      </c>
      <c r="T11" s="5" t="n">
        <v>30609513822</v>
      </c>
      <c r="U11" s="9">
        <f>IF(OR(R11="",S11="",T11=""),"",R11+S11-T11)</f>
        <v/>
      </c>
      <c r="V11" t="n">
        <v>78161837991</v>
      </c>
      <c r="W11">
        <f>IF(AND(U11="",V11=""),"",IF(OR(U11="",V11=""),"불일치",IF(ABS(U11-V11)&lt;=MAX(1,ABS(V11))*1E-9,"일치","불일치")))</f>
        <v/>
      </c>
      <c r="X11" s="5" t="n">
        <v>15947101847</v>
      </c>
      <c r="Y11" s="5" t="n">
        <v>26730413948</v>
      </c>
      <c r="Z11" s="5" t="n">
        <v>13429452013</v>
      </c>
      <c r="AA11" s="9">
        <f>IF(OR(X11="",Y11="",Z11=""),"",X11+Y11-Z11)</f>
        <v/>
      </c>
      <c r="AB11" t="n">
        <v>29248063782</v>
      </c>
      <c r="AC11">
        <f>IF(AND(AA11="",AB11=""),"",IF(OR(AA11="",AB11=""),"불일치",IF(ABS(AA11-AB11)&lt;=MAX(1,ABS(AB11))*1E-9,"일치","불일치")))</f>
        <v/>
      </c>
      <c r="AD11" s="5" t="n">
        <v>11602425223</v>
      </c>
      <c r="AE11" s="5" t="n">
        <v>18997461570</v>
      </c>
      <c r="AF11" s="5" t="n">
        <v>9759440404</v>
      </c>
      <c r="AG11" s="9">
        <f>IF(OR(AD11="",AE11="",AF11=""),"",AD11+AE11-AF11)</f>
        <v/>
      </c>
      <c r="AH11" t="n">
        <v>20840446389</v>
      </c>
      <c r="AI11">
        <f>IF(AND(AG11="",AH11=""),"",IF(OR(AG11="",AH11=""),"불일치",IF(ABS(AG11-AH11)&lt;=MAX(1,ABS(AH11))*1E-9,"일치","불일치")))</f>
        <v/>
      </c>
      <c r="AJ11" s="5" t="n">
        <v>16998889290</v>
      </c>
      <c r="AK11" s="5" t="n">
        <v>19722105537</v>
      </c>
      <c r="AL11" s="5" t="n">
        <v>12320753817</v>
      </c>
      <c r="AM11" s="9">
        <f>IF(OR(AJ11="",AK11="",AL11=""),"",AJ11+AK11-AL11)</f>
        <v/>
      </c>
      <c r="AN11" t="n">
        <v>24400241010</v>
      </c>
      <c r="AO11">
        <f>IF(AND(AM11="",AN11=""),"",IF(OR(AM11="",AN11=""),"불일치",IF(ABS(AM11-AN11)&lt;=MAX(1,ABS(AN11))*1E-9,"일치","불일치")))</f>
        <v/>
      </c>
      <c r="AP11" s="5" t="n">
        <v>84433612608</v>
      </c>
      <c r="AQ11" s="5" t="n">
        <v>72734519469</v>
      </c>
      <c r="AR11" s="5" t="n">
        <v>109101372956</v>
      </c>
      <c r="AS11" s="5" t="n">
        <v>91519256601</v>
      </c>
      <c r="AT11" s="5" t="n">
        <v>7034449091</v>
      </c>
      <c r="AU11" s="5" t="n">
        <v>6775125394</v>
      </c>
      <c r="AV11" s="5" t="n">
        <v>28010892370</v>
      </c>
      <c r="AW11" s="5" t="n">
        <v>56461671990</v>
      </c>
      <c r="AX11" s="5" t="n">
        <v>43500000000</v>
      </c>
      <c r="AY11" s="5" t="n">
        <v>832176086</v>
      </c>
      <c r="AZ11" s="9">
        <f>IFERROR(I11/E11,"")</f>
        <v/>
      </c>
      <c r="BA11" t="n">
        <v>0.1404077105308431</v>
      </c>
      <c r="BB11">
        <f>IF(AND(AZ11="",BA11=""),"",IF(OR(AZ11="",BA11=""),"불일치",IF(ABS(AZ11-BA11)&lt;=MAX(1,ABS(BA11))*1E-9,"일치","불일치")))</f>
        <v/>
      </c>
      <c r="BC11" s="9">
        <f>IFERROR(IF(AP11&lt;=0,"",AP11/E11),"")</f>
        <v/>
      </c>
      <c r="BD11" t="n">
        <v>0.6804928661888623</v>
      </c>
      <c r="BE11">
        <f>IF(AND(BC11="",BD11=""),"",IF(OR(BC11="",BD11=""),"불일치",IF(ABS(BC11-BD11)&lt;=MAX(1,ABS(BD11))*1E-9,"일치","불일치")))</f>
        <v/>
      </c>
      <c r="BF11" s="9">
        <f>IFERROR(IF(OR(AP11&lt;=0,AQ11&lt;=0),"",I11/((AP11+AQ11)/2)),"")</f>
        <v/>
      </c>
      <c r="BG11" t="n">
        <v>0.2216910991786158</v>
      </c>
      <c r="BH11">
        <f>IF(AND(BF11="",BG11=""),"",IF(OR(BF11="",BG11=""),"불일치",IF(ABS(BF11-BG11)&lt;=MAX(1,ABS(BG11))*1E-9,"일치","불일치")))</f>
        <v/>
      </c>
      <c r="BI11" s="9">
        <f>IFERROR(AA11/((AR11+AS11)/2),"")</f>
        <v/>
      </c>
      <c r="BJ11" t="n">
        <v>0.291575834913728</v>
      </c>
      <c r="BK11">
        <f>IF(AND(BI11="",BJ11=""),"",IF(OR(BI11="",BJ11=""),"불일치",IF(ABS(BI11-BJ11)&lt;=MAX(1,ABS(BJ11))*1E-9,"일치","불일치")))</f>
        <v/>
      </c>
      <c r="BL11" s="9">
        <f>IFERROR(E11+AT11-AV11-AX11,"")</f>
        <v/>
      </c>
      <c r="BM11" t="n">
        <v>59600702571</v>
      </c>
      <c r="BN11">
        <f>IF(AND(BL11="",BM11=""),"",IF(OR(BL11="",BM11=""),"불일치",IF(ABS(BL11-BM11)&lt;=MAX(1,ABS(BM11))*1E-9,"일치","불일치")))</f>
        <v/>
      </c>
      <c r="BO11" s="9">
        <f>IFERROR(IF(OR(BL11&lt;=0,BL11&lt;0.1*E11),"",AG11/BL11),"")</f>
        <v/>
      </c>
      <c r="BP11" t="n">
        <v>0.3496677973581534</v>
      </c>
      <c r="BQ11">
        <f>IF(AND(BO11="",BP11=""),"",IF(OR(BO11="",BP11=""),"불일치",IF(ABS(BO11-BP11)&lt;=MAX(1,ABS(BP11))*1E-9,"일치","불일치")))</f>
        <v/>
      </c>
      <c r="BR11" s="9">
        <f>IFERROR(IF(O11&lt;=0,"",AM11/O11),"")</f>
        <v/>
      </c>
      <c r="BS11" t="n">
        <v>1.402340673101343</v>
      </c>
      <c r="BT11">
        <f>IF(AND(BR11="",BS11=""),"",IF(OR(BR11="",BS11=""),"불일치",IF(ABS(BR11-BS11)&lt;=MAX(1,ABS(BS11))*1E-9,"일치","불일치")))</f>
        <v/>
      </c>
    </row>
    <row r="12">
      <c r="A12" t="inlineStr">
        <is>
          <t>진양제약</t>
        </is>
      </c>
      <c r="B12" t="inlineStr">
        <is>
          <t>007370</t>
        </is>
      </c>
      <c r="C12" t="inlineStr">
        <is>
          <t>2026Q2</t>
        </is>
      </c>
      <c r="D12" t="inlineStr">
        <is>
          <t>OFS</t>
        </is>
      </c>
      <c r="E12" t="n">
        <v>48128268735</v>
      </c>
      <c r="F12" s="5" t="n">
        <v>4468961675</v>
      </c>
      <c r="G12" s="5" t="n">
        <v>22286848623</v>
      </c>
      <c r="H12" s="5" t="n">
        <v>3951759032</v>
      </c>
      <c r="I12" s="9">
        <f>IF(OR(F12="",G12="",H12=""),"",F12+G12-H12)</f>
        <v/>
      </c>
      <c r="J12" t="n">
        <v>22804051266</v>
      </c>
      <c r="K12">
        <f>IF(AND(I12="",J12=""),"",IF(OR(I12="",J12=""),"불일치",IF(ABS(I12-J12)&lt;=MAX(1,ABS(J12))*1E-9,"일치","불일치")))</f>
        <v/>
      </c>
      <c r="L12" s="5" t="n">
        <v>4468961675</v>
      </c>
      <c r="M12" s="5" t="n">
        <v>22286848623</v>
      </c>
      <c r="N12" s="5" t="n">
        <v>3951759032</v>
      </c>
      <c r="O12" s="9">
        <f>IF(OR(L12="",M12="",N12=""),"",L12+M12-N12)</f>
        <v/>
      </c>
      <c r="P12" t="n">
        <v>22804051266</v>
      </c>
      <c r="Q12">
        <f>IF(AND(O12="",P12=""),"",IF(OR(O12="",P12=""),"불일치",IF(ABS(O12-P12)&lt;=MAX(1,ABS(P12))*1E-9,"일치","불일치")))</f>
        <v/>
      </c>
      <c r="R12" s="5" t="n">
        <v>65046695377</v>
      </c>
      <c r="S12" s="5" t="n">
        <v>120686230379</v>
      </c>
      <c r="T12" s="5" t="n">
        <v>61122380211</v>
      </c>
      <c r="U12" s="9">
        <f>IF(OR(R12="",S12="",T12=""),"",R12+S12-T12)</f>
        <v/>
      </c>
      <c r="V12" t="n">
        <v>124610545545</v>
      </c>
      <c r="W12">
        <f>IF(AND(U12="",V12=""),"",IF(OR(U12="",V12=""),"불일치",IF(ABS(U12-V12)&lt;=MAX(1,ABS(V12))*1E-9,"일치","불일치")))</f>
        <v/>
      </c>
      <c r="X12" s="5" t="n">
        <v>43355170134</v>
      </c>
      <c r="Y12" s="5" t="n">
        <v>78151057747</v>
      </c>
      <c r="Z12" s="5" t="n">
        <v>39248733751</v>
      </c>
      <c r="AA12" s="9">
        <f>IF(OR(X12="",Y12="",Z12=""),"",X12+Y12-Z12)</f>
        <v/>
      </c>
      <c r="AB12" t="n">
        <v>82257494130</v>
      </c>
      <c r="AC12">
        <f>IF(AND(AA12="",AB12=""),"",IF(OR(AA12="",AB12=""),"불일치",IF(ABS(AA12-AB12)&lt;=MAX(1,ABS(AB12))*1E-9,"일치","불일치")))</f>
        <v/>
      </c>
      <c r="AD12" s="5" t="n">
        <v>7584181462</v>
      </c>
      <c r="AE12" s="5" t="n">
        <v>2526241951</v>
      </c>
      <c r="AF12" s="5" t="n">
        <v>6320122647</v>
      </c>
      <c r="AG12" s="9">
        <f>IF(OR(AD12="",AE12="",AF12=""),"",AD12+AE12-AF12)</f>
        <v/>
      </c>
      <c r="AH12" t="n">
        <v>3790300766</v>
      </c>
      <c r="AI12">
        <f>IF(AND(AG12="",AH12=""),"",IF(OR(AG12="",AH12=""),"불일치",IF(ABS(AG12-AH12)&lt;=MAX(1,ABS(AH12))*1E-9,"일치","불일치")))</f>
        <v/>
      </c>
      <c r="AJ12" s="5" t="n">
        <v>12583980177</v>
      </c>
      <c r="AK12" s="5" t="n">
        <v>1464986839</v>
      </c>
      <c r="AL12" s="5" t="n">
        <v>3296450345</v>
      </c>
      <c r="AM12" s="9">
        <f>IF(OR(AJ12="",AK12="",AL12=""),"",AJ12+AK12-AL12)</f>
        <v/>
      </c>
      <c r="AN12" t="n">
        <v>10752516671</v>
      </c>
      <c r="AO12">
        <f>IF(AND(AM12="",AN12=""),"",IF(OR(AM12="",AN12=""),"불일치",IF(ABS(AM12-AN12)&lt;=MAX(1,ABS(AN12))*1E-9,"일치","불일치")))</f>
        <v/>
      </c>
      <c r="AP12" s="5" t="n">
        <v>162158792919</v>
      </c>
      <c r="AQ12" s="5" t="n">
        <v>126310394230</v>
      </c>
      <c r="AR12" s="5" t="n">
        <v>274418265173</v>
      </c>
      <c r="AS12" s="5" t="n">
        <v>228769952049</v>
      </c>
      <c r="AT12" s="5" t="n">
        <v>75568608288</v>
      </c>
      <c r="AU12" s="5" t="n">
        <v>77377785640</v>
      </c>
      <c r="AV12" s="5" t="n">
        <v>1118692236</v>
      </c>
      <c r="AW12" s="5" t="n">
        <v>371646728</v>
      </c>
      <c r="AX12" s="5" t="n">
        <v>0</v>
      </c>
      <c r="AY12" s="5" t="n">
        <v>0</v>
      </c>
      <c r="AZ12" s="9">
        <f>IFERROR(I12/E12,"")</f>
        <v/>
      </c>
      <c r="BA12" t="n">
        <v>0.4738182333456005</v>
      </c>
      <c r="BB12">
        <f>IF(AND(AZ12="",BA12=""),"",IF(OR(AZ12="",BA12=""),"불일치",IF(ABS(AZ12-BA12)&lt;=MAX(1,ABS(BA12))*1E-9,"일치","불일치")))</f>
        <v/>
      </c>
      <c r="BC12" s="9">
        <f>IFERROR(IF(AP12&lt;=0,"",AP12/E12),"")</f>
        <v/>
      </c>
      <c r="BD12" t="n">
        <v>3.369304510242529</v>
      </c>
      <c r="BE12">
        <f>IF(AND(BC12="",BD12=""),"",IF(OR(BC12="",BD12=""),"불일치",IF(ABS(BC12-BD12)&lt;=MAX(1,ABS(BD12))*1E-9,"일치","불일치")))</f>
        <v/>
      </c>
      <c r="BF12" s="9">
        <f>IFERROR(IF(OR(AP12&lt;=0,AQ12&lt;=0),"",I12/((AP12+AQ12)/2)),"")</f>
        <v/>
      </c>
      <c r="BG12" t="n">
        <v>0.1581038965816565</v>
      </c>
      <c r="BH12">
        <f>IF(AND(BF12="",BG12=""),"",IF(OR(BF12="",BG12=""),"불일치",IF(ABS(BF12-BG12)&lt;=MAX(1,ABS(BG12))*1E-9,"일치","불일치")))</f>
        <v/>
      </c>
      <c r="BI12" s="9">
        <f>IFERROR(AA12/((AR12+AS12)/2),"")</f>
        <v/>
      </c>
      <c r="BJ12" t="n">
        <v>0.3269452316833925</v>
      </c>
      <c r="BK12">
        <f>IF(AND(BI12="",BJ12=""),"",IF(OR(BI12="",BJ12=""),"불일치",IF(ABS(BI12-BJ12)&lt;=MAX(1,ABS(BJ12))*1E-9,"일치","불일치")))</f>
        <v/>
      </c>
      <c r="BL12" s="9">
        <f>IFERROR(E12+AT12-AV12-AX12,"")</f>
        <v/>
      </c>
      <c r="BM12" t="n">
        <v>122578184787</v>
      </c>
      <c r="BN12">
        <f>IF(AND(BL12="",BM12=""),"",IF(OR(BL12="",BM12=""),"불일치",IF(ABS(BL12-BM12)&lt;=MAX(1,ABS(BM12))*1E-9,"일치","불일치")))</f>
        <v/>
      </c>
      <c r="BO12" s="9">
        <f>IFERROR(IF(OR(BL12&lt;=0,BL12&lt;0.1*E12),"",AG12/BL12),"")</f>
        <v/>
      </c>
      <c r="BP12" t="n">
        <v>0.0309214953100038</v>
      </c>
      <c r="BQ12">
        <f>IF(AND(BO12="",BP12=""),"",IF(OR(BO12="",BP12=""),"불일치",IF(ABS(BO12-BP12)&lt;=MAX(1,ABS(BP12))*1E-9,"일치","불일치")))</f>
        <v/>
      </c>
      <c r="BR12" s="9">
        <f>IFERROR(IF(O12&lt;=0,"",AM12/O12),"")</f>
        <v/>
      </c>
      <c r="BS12" t="n">
        <v>0.4715178257396573</v>
      </c>
      <c r="BT12">
        <f>IF(AND(BR12="",BS12=""),"",IF(OR(BR12="",BS12=""),"불일치",IF(ABS(BR12-BS12)&lt;=MAX(1,ABS(BS12))*1E-9,"일치","불일치")))</f>
        <v/>
      </c>
    </row>
    <row r="13">
      <c r="A13" t="inlineStr">
        <is>
          <t>롯데지주</t>
        </is>
      </c>
      <c r="B13" t="inlineStr">
        <is>
          <t>004990</t>
        </is>
      </c>
      <c r="C13" t="inlineStr">
        <is>
          <t>2026Q2</t>
        </is>
      </c>
      <c r="D13" t="inlineStr">
        <is>
          <t>CFS</t>
        </is>
      </c>
      <c r="E13" t="n">
        <v>2165799880000</v>
      </c>
      <c r="F13" s="5" t="n">
        <v>42120798515</v>
      </c>
      <c r="G13" s="5" t="n">
        <v>-647552868590</v>
      </c>
      <c r="H13" s="5" t="n">
        <v>-204893627830</v>
      </c>
      <c r="I13" s="9">
        <f>IF(OR(F13="",G13="",H13=""),"",F13+G13-H13)</f>
        <v/>
      </c>
      <c r="J13" t="n">
        <v>-400538442245</v>
      </c>
      <c r="K13">
        <f>IF(AND(I13="",J13=""),"",IF(OR(I13="",J13=""),"불일치",IF(ABS(I13-J13)&lt;=MAX(1,ABS(J13))*1E-9,"일치","불일치")))</f>
        <v/>
      </c>
      <c r="L13" s="5" t="n">
        <v>78832872862</v>
      </c>
      <c r="M13" s="5" t="n">
        <v>-595003287583</v>
      </c>
      <c r="N13" s="5" t="n">
        <v>-160406356485</v>
      </c>
      <c r="O13" s="9">
        <f>IF(OR(L13="",M13="",N13=""),"",L13+M13-N13)</f>
        <v/>
      </c>
      <c r="P13" t="n">
        <v>-355764058236</v>
      </c>
      <c r="Q13">
        <f>IF(AND(O13="",P13=""),"",IF(OR(O13="",P13=""),"불일치",IF(ABS(O13-P13)&lt;=MAX(1,ABS(P13))*1E-9,"일치","불일치")))</f>
        <v/>
      </c>
      <c r="R13" s="5" t="n">
        <v>7715223712777</v>
      </c>
      <c r="S13" s="5" t="n">
        <v>15539626589471</v>
      </c>
      <c r="T13" s="5" t="n">
        <v>7628438979590</v>
      </c>
      <c r="U13" s="9">
        <f>IF(OR(R13="",S13="",T13=""),"",R13+S13-T13)</f>
        <v/>
      </c>
      <c r="V13" t="n">
        <v>15626411322658</v>
      </c>
      <c r="W13">
        <f>IF(AND(U13="",V13=""),"",IF(OR(U13="",V13=""),"불일치",IF(ABS(U13-V13)&lt;=MAX(1,ABS(V13))*1E-9,"일치","불일치")))</f>
        <v/>
      </c>
      <c r="X13" s="5" t="n">
        <v>2263189109088</v>
      </c>
      <c r="Y13" s="5" t="n">
        <v>4430741650311</v>
      </c>
      <c r="Z13" s="5" t="n">
        <v>2214111023770</v>
      </c>
      <c r="AA13" s="9">
        <f>IF(OR(X13="",Y13="",Z13=""),"",X13+Y13-Z13)</f>
        <v/>
      </c>
      <c r="AB13" t="n">
        <v>4479819735629</v>
      </c>
      <c r="AC13">
        <f>IF(AND(AA13="",AB13=""),"",IF(OR(AA13="",AB13=""),"불일치",IF(ABS(AA13-AB13)&lt;=MAX(1,ABS(AB13))*1E-9,"일치","불일치")))</f>
        <v/>
      </c>
      <c r="AD13" s="5" t="n">
        <v>175054517946</v>
      </c>
      <c r="AE13" s="5" t="n">
        <v>239439333968</v>
      </c>
      <c r="AF13" s="5" t="n">
        <v>160153874683</v>
      </c>
      <c r="AG13" s="9">
        <f>IF(OR(AD13="",AE13="",AF13=""),"",AD13+AE13-AF13)</f>
        <v/>
      </c>
      <c r="AH13" t="n">
        <v>254339977231</v>
      </c>
      <c r="AI13">
        <f>IF(AND(AG13="",AH13=""),"",IF(OR(AG13="",AH13=""),"불일치",IF(ABS(AG13-AH13)&lt;=MAX(1,ABS(AH13))*1E-9,"일치","불일치")))</f>
        <v/>
      </c>
      <c r="AJ13" s="5" t="n">
        <v>604198969594</v>
      </c>
      <c r="AK13" s="5" t="n">
        <v>1156131183818</v>
      </c>
      <c r="AL13" s="5" t="n">
        <v>448102936859</v>
      </c>
      <c r="AM13" s="9">
        <f>IF(OR(AJ13="",AK13="",AL13=""),"",AJ13+AK13-AL13)</f>
        <v/>
      </c>
      <c r="AN13" t="n">
        <v>1312227216553</v>
      </c>
      <c r="AO13">
        <f>IF(AND(AM13="",AN13=""),"",IF(OR(AM13="",AN13=""),"불일치",IF(ABS(AM13-AN13)&lt;=MAX(1,ABS(AN13))*1E-9,"일치","불일치")))</f>
        <v/>
      </c>
      <c r="AP13" s="5" t="n">
        <v>6395557318834</v>
      </c>
      <c r="AQ13" s="5" t="n">
        <v>5940329474021</v>
      </c>
      <c r="AR13" s="5" t="n">
        <v>23652508149907</v>
      </c>
      <c r="AS13" s="5" t="n">
        <v>22467936174334</v>
      </c>
      <c r="AT13" s="5" t="n">
        <v>8646179801846</v>
      </c>
      <c r="AU13" s="5" t="n">
        <v>8577926248556</v>
      </c>
      <c r="AV13" s="5" t="n">
        <v>1236179966409</v>
      </c>
      <c r="AW13" s="5" t="n">
        <v>1170280786761</v>
      </c>
      <c r="AX13" s="5" t="n">
        <v>0</v>
      </c>
      <c r="AY13" s="5" t="n">
        <v>0</v>
      </c>
      <c r="AZ13" s="9">
        <f>IFERROR(I13/E13,"")</f>
        <v/>
      </c>
      <c r="BA13" t="n">
        <v>-0.1849378818162092</v>
      </c>
      <c r="BB13">
        <f>IF(AND(AZ13="",BA13=""),"",IF(OR(AZ13="",BA13=""),"불일치",IF(ABS(AZ13-BA13)&lt;=MAX(1,ABS(BA13))*1E-9,"일치","불일치")))</f>
        <v/>
      </c>
      <c r="BC13" s="9">
        <f>IFERROR(IF(AP13&lt;=0,"",AP13/E13),"")</f>
        <v/>
      </c>
      <c r="BD13" t="n">
        <v>2.952977039981183</v>
      </c>
      <c r="BE13">
        <f>IF(AND(BC13="",BD13=""),"",IF(OR(BC13="",BD13=""),"불일치",IF(ABS(BC13-BD13)&lt;=MAX(1,ABS(BD13))*1E-9,"일치","불일치")))</f>
        <v/>
      </c>
      <c r="BF13" s="9">
        <f>IFERROR(IF(OR(AP13&lt;=0,AQ13&lt;=0),"",I13/((AP13+AQ13)/2)),"")</f>
        <v/>
      </c>
      <c r="BG13" t="n">
        <v>-0.06493873508583001</v>
      </c>
      <c r="BH13">
        <f>IF(AND(BF13="",BG13=""),"",IF(OR(BF13="",BG13=""),"불일치",IF(ABS(BF13-BG13)&lt;=MAX(1,ABS(BG13))*1E-9,"일치","불일치")))</f>
        <v/>
      </c>
      <c r="BI13" s="9">
        <f>IFERROR(AA13/((AR13+AS13)/2),"")</f>
        <v/>
      </c>
      <c r="BJ13" t="n">
        <v>0.194266113489041</v>
      </c>
      <c r="BK13">
        <f>IF(AND(BI13="",BJ13=""),"",IF(OR(BI13="",BJ13=""),"불일치",IF(ABS(BI13-BJ13)&lt;=MAX(1,ABS(BJ13))*1E-9,"일치","불일치")))</f>
        <v/>
      </c>
      <c r="BL13" s="9">
        <f>IFERROR(E13+AT13-AV13-AX13,"")</f>
        <v/>
      </c>
      <c r="BM13" t="n">
        <v>9575799715437</v>
      </c>
      <c r="BN13">
        <f>IF(AND(BL13="",BM13=""),"",IF(OR(BL13="",BM13=""),"불일치",IF(ABS(BL13-BM13)&lt;=MAX(1,ABS(BM13))*1E-9,"일치","불일치")))</f>
        <v/>
      </c>
      <c r="BO13" s="9">
        <f>IFERROR(IF(OR(BL13&lt;=0,BL13&lt;0.1*E13),"",AG13/BL13),"")</f>
        <v/>
      </c>
      <c r="BP13" t="n">
        <v>0.02656070352233688</v>
      </c>
      <c r="BQ13">
        <f>IF(AND(BO13="",BP13=""),"",IF(OR(BO13="",BP13=""),"불일치",IF(ABS(BO13-BP13)&lt;=MAX(1,ABS(BP13))*1E-9,"일치","불일치")))</f>
        <v/>
      </c>
      <c r="BR13" s="9">
        <f>IFERROR(IF(O13&lt;=0,"",AM13/O13),"")</f>
        <v/>
      </c>
      <c r="BT13">
        <f>IF(AND(BR13="",BS13=""),"",IF(OR(BR13="",BS13=""),"불일치",IF(ABS(BR13-BS13)&lt;=MAX(1,ABS(BS13))*1E-9,"일치","불일치")))</f>
        <v/>
      </c>
    </row>
    <row r="14">
      <c r="A14" t="inlineStr">
        <is>
          <t>한화플러스제4호스팩</t>
        </is>
      </c>
      <c r="B14" t="inlineStr">
        <is>
          <t>455310</t>
        </is>
      </c>
      <c r="C14" t="inlineStr">
        <is>
          <t>2025Q4</t>
        </is>
      </c>
      <c r="D14" t="inlineStr">
        <is>
          <t>OFS</t>
        </is>
      </c>
      <c r="E14" t="n">
        <v>10626000000</v>
      </c>
      <c r="F14" s="5" t="n">
        <v>155199091</v>
      </c>
      <c r="G14" s="5" t="n">
        <v>218602597</v>
      </c>
      <c r="H14" s="5" t="n">
        <v>218602597</v>
      </c>
      <c r="I14" s="9">
        <f>IF(OR(F14="",G14="",H14=""),"",F14+G14-H14)</f>
        <v/>
      </c>
      <c r="J14" t="n">
        <v>155199091</v>
      </c>
      <c r="K14">
        <f>IF(AND(I14="",J14=""),"",IF(OR(I14="",J14=""),"불일치",IF(ABS(I14-J14)&lt;=MAX(1,ABS(J14))*1E-9,"일치","불일치")))</f>
        <v/>
      </c>
      <c r="L14" s="5" t="n">
        <v>155199091</v>
      </c>
      <c r="M14" s="5" t="n">
        <v>218602597</v>
      </c>
      <c r="N14" s="5" t="n">
        <v>218602597</v>
      </c>
      <c r="O14" s="9">
        <f>IF(OR(L14="",M14="",N14=""),"",L14+M14-N14)</f>
        <v/>
      </c>
      <c r="P14" t="n">
        <v>155199091</v>
      </c>
      <c r="Q14">
        <f>IF(AND(O14="",P14=""),"",IF(OR(O14="",P14=""),"불일치",IF(ABS(O14-P14)&lt;=MAX(1,ABS(P14))*1E-9,"일치","불일치")))</f>
        <v/>
      </c>
      <c r="R14" s="5" t="n">
        <v>0</v>
      </c>
      <c r="S14" s="5" t="n">
        <v>0</v>
      </c>
      <c r="T14" s="5" t="n">
        <v>0</v>
      </c>
      <c r="U14" s="9">
        <f>IF(OR(R14="",S14="",T14=""),"",R14+S14-T14)</f>
        <v/>
      </c>
      <c r="V14" t="n">
        <v>0</v>
      </c>
      <c r="W14">
        <f>IF(AND(U14="",V14=""),"",IF(OR(U14="",V14=""),"불일치",IF(ABS(U14-V14)&lt;=MAX(1,ABS(V14))*1E-9,"일치","불일치")))</f>
        <v/>
      </c>
      <c r="X14" s="5" t="n"/>
      <c r="Y14" s="5" t="n"/>
      <c r="Z14" s="5" t="n"/>
      <c r="AA14" s="9">
        <f>IF(OR(X14="",Y14="",Z14=""),"",X14+Y14-Z14)</f>
        <v/>
      </c>
      <c r="AC14">
        <f>IF(AND(AA14="",AB14=""),"",IF(OR(AA14="",AB14=""),"불일치",IF(ABS(AA14-AB14)&lt;=MAX(1,ABS(AB14))*1E-9,"일치","불일치")))</f>
        <v/>
      </c>
      <c r="AD14" s="5" t="n">
        <v>-60455970</v>
      </c>
      <c r="AE14" s="5" t="n">
        <v>-64213879</v>
      </c>
      <c r="AF14" s="5" t="n">
        <v>-64213879</v>
      </c>
      <c r="AG14" s="9">
        <f>IF(OR(AD14="",AE14="",AF14=""),"",AD14+AE14-AF14)</f>
        <v/>
      </c>
      <c r="AH14" t="n">
        <v>-60455970</v>
      </c>
      <c r="AI14">
        <f>IF(AND(AG14="",AH14=""),"",IF(OR(AG14="",AH14=""),"불일치",IF(ABS(AG14-AH14)&lt;=MAX(1,ABS(AH14))*1E-9,"일치","불일치")))</f>
        <v/>
      </c>
      <c r="AJ14" s="5" t="n">
        <v>-8522427</v>
      </c>
      <c r="AK14" s="5" t="n">
        <v>-55097036</v>
      </c>
      <c r="AL14" s="5" t="n">
        <v>-55097036</v>
      </c>
      <c r="AM14" s="9">
        <f>IF(OR(AJ14="",AK14="",AL14=""),"",AJ14+AK14-AL14)</f>
        <v/>
      </c>
      <c r="AN14" t="n">
        <v>-8522427</v>
      </c>
      <c r="AO14">
        <f>IF(AND(AM14="",AN14=""),"",IF(OR(AM14="",AN14=""),"불일치",IF(ABS(AM14-AN14)&lt;=MAX(1,ABS(AN14))*1E-9,"일치","불일치")))</f>
        <v/>
      </c>
      <c r="AP14" s="5" t="n">
        <v>10384229137</v>
      </c>
      <c r="AQ14" s="5" t="n">
        <v>10229030046</v>
      </c>
      <c r="AR14" s="5" t="n">
        <v>12441749034</v>
      </c>
      <c r="AS14" s="5" t="n">
        <v>12229529128</v>
      </c>
      <c r="AT14" s="5" t="n">
        <v>1997421625</v>
      </c>
      <c r="AU14" s="5" t="n">
        <v>1916561879</v>
      </c>
      <c r="AV14" s="5" t="n">
        <v>2263573479</v>
      </c>
      <c r="AW14" s="5" t="n">
        <v>2272095906</v>
      </c>
      <c r="AX14" s="5" t="n">
        <v>10063080436</v>
      </c>
      <c r="AY14" s="5" t="n">
        <v>9797748375</v>
      </c>
      <c r="AZ14" s="9">
        <f>IFERROR(I14/E14,"")</f>
        <v/>
      </c>
      <c r="BA14" t="n">
        <v>0.01460559862601167</v>
      </c>
      <c r="BB14">
        <f>IF(AND(AZ14="",BA14=""),"",IF(OR(AZ14="",BA14=""),"불일치",IF(ABS(AZ14-BA14)&lt;=MAX(1,ABS(BA14))*1E-9,"일치","불일치")))</f>
        <v/>
      </c>
      <c r="BC14" s="9">
        <f>IFERROR(IF(AP14&lt;=0,"",AP14/E14),"")</f>
        <v/>
      </c>
      <c r="BD14" t="n">
        <v>0.9772472366836062</v>
      </c>
      <c r="BE14">
        <f>IF(AND(BC14="",BD14=""),"",IF(OR(BC14="",BD14=""),"불일치",IF(ABS(BC14-BD14)&lt;=MAX(1,ABS(BD14))*1E-9,"일치","불일치")))</f>
        <v/>
      </c>
      <c r="BF14" s="9">
        <f>IFERROR(IF(OR(AP14&lt;=0,AQ14&lt;=0),"",I14/((AP14+AQ14)/2)),"")</f>
        <v/>
      </c>
      <c r="BG14" t="n">
        <v>0.01505818071971797</v>
      </c>
      <c r="BH14">
        <f>IF(AND(BF14="",BG14=""),"",IF(OR(BF14="",BG14=""),"불일치",IF(ABS(BF14-BG14)&lt;=MAX(1,ABS(BG14))*1E-9,"일치","불일치")))</f>
        <v/>
      </c>
      <c r="BI14" s="9">
        <f>IFERROR(AA14/((AR14+AS14)/2),"")</f>
        <v/>
      </c>
      <c r="BK14">
        <f>IF(AND(BI14="",BJ14=""),"",IF(OR(BI14="",BJ14=""),"불일치",IF(ABS(BI14-BJ14)&lt;=MAX(1,ABS(BJ14))*1E-9,"일치","불일치")))</f>
        <v/>
      </c>
      <c r="BL14" s="9">
        <f>IFERROR(E14+AT14-AV14-AX14,"")</f>
        <v/>
      </c>
      <c r="BM14" t="n">
        <v>296767710</v>
      </c>
      <c r="BN14">
        <f>IF(AND(BL14="",BM14=""),"",IF(OR(BL14="",BM14=""),"불일치",IF(ABS(BL14-BM14)&lt;=MAX(1,ABS(BM14))*1E-9,"일치","불일치")))</f>
        <v/>
      </c>
      <c r="BO14" s="9">
        <f>IFERROR(IF(OR(BL14&lt;=0,BL14&lt;0.1*E14),"",AG14/BL14),"")</f>
        <v/>
      </c>
      <c r="BQ14">
        <f>IF(AND(BO14="",BP14=""),"",IF(OR(BO14="",BP14=""),"불일치",IF(ABS(BO14-BP14)&lt;=MAX(1,ABS(BP14))*1E-9,"일치","불일치")))</f>
        <v/>
      </c>
      <c r="BR14" s="9">
        <f>IFERROR(IF(O14&lt;=0,"",AM14/O14),"")</f>
        <v/>
      </c>
      <c r="BS14" t="n">
        <v>-0.05491286672548874</v>
      </c>
      <c r="BT14">
        <f>IF(AND(BR14="",BS14=""),"",IF(OR(BR14="",BS14=""),"불일치",IF(ABS(BR14-BS14)&lt;=MAX(1,ABS(BS14))*1E-9,"일치","불일치")))</f>
        <v/>
      </c>
    </row>
    <row r="15">
      <c r="A15" t="inlineStr">
        <is>
          <t>세아특수강</t>
        </is>
      </c>
      <c r="B15" t="inlineStr">
        <is>
          <t>019440</t>
        </is>
      </c>
      <c r="C15" t="inlineStr">
        <is>
          <t>2025Q3</t>
        </is>
      </c>
      <c r="D15" t="inlineStr">
        <is>
          <t>CFS</t>
        </is>
      </c>
      <c r="E15" t="n">
        <v>161715900000</v>
      </c>
      <c r="F15" s="5" t="n">
        <v>15177780491</v>
      </c>
      <c r="G15" s="5" t="n">
        <v>10967344155</v>
      </c>
      <c r="H15" s="5" t="n">
        <v>6832237659</v>
      </c>
      <c r="I15" s="9">
        <f>IF(OR(F15="",G15="",H15=""),"",F15+G15-H15)</f>
        <v/>
      </c>
      <c r="J15" t="n">
        <v>19312886987</v>
      </c>
      <c r="K15">
        <f>IF(AND(I15="",J15=""),"",IF(OR(I15="",J15=""),"불일치",IF(ABS(I15-J15)&lt;=MAX(1,ABS(J15))*1E-9,"일치","불일치")))</f>
        <v/>
      </c>
      <c r="L15" s="5" t="n">
        <v>16173260591</v>
      </c>
      <c r="M15" s="5" t="n">
        <v>11410828358</v>
      </c>
      <c r="N15" s="5" t="n">
        <v>7269747872</v>
      </c>
      <c r="O15" s="9">
        <f>IF(OR(L15="",M15="",N15=""),"",L15+M15-N15)</f>
        <v/>
      </c>
      <c r="P15" t="n">
        <v>20314341077</v>
      </c>
      <c r="Q15">
        <f>IF(AND(O15="",P15=""),"",IF(OR(O15="",P15=""),"불일치",IF(ABS(O15-P15)&lt;=MAX(1,ABS(P15))*1E-9,"일치","불일치")))</f>
        <v/>
      </c>
      <c r="R15" s="5" t="n">
        <v>728097883903</v>
      </c>
      <c r="S15" s="5" t="n">
        <v>1008676692070</v>
      </c>
      <c r="T15" s="5" t="n">
        <v>752696198238</v>
      </c>
      <c r="U15" s="9">
        <f>IF(OR(R15="",S15="",T15=""),"",R15+S15-T15)</f>
        <v/>
      </c>
      <c r="V15" t="n">
        <v>984078377735</v>
      </c>
      <c r="W15">
        <f>IF(AND(U15="",V15=""),"",IF(OR(U15="",V15=""),"불일치",IF(ABS(U15-V15)&lt;=MAX(1,ABS(V15))*1E-9,"일치","불일치")))</f>
        <v/>
      </c>
      <c r="X15" s="5" t="n">
        <v>63970844147</v>
      </c>
      <c r="Y15" s="5" t="n">
        <v>70420743470</v>
      </c>
      <c r="Z15" s="5" t="n">
        <v>51186942108</v>
      </c>
      <c r="AA15" s="9">
        <f>IF(OR(X15="",Y15="",Z15=""),"",X15+Y15-Z15)</f>
        <v/>
      </c>
      <c r="AB15" t="n">
        <v>83204645509</v>
      </c>
      <c r="AC15">
        <f>IF(AND(AA15="",AB15=""),"",IF(OR(AA15="",AB15=""),"불일치",IF(ABS(AA15-AB15)&lt;=MAX(1,ABS(AB15))*1E-9,"일치","불일치")))</f>
        <v/>
      </c>
      <c r="AD15" s="5" t="n">
        <v>27337929347</v>
      </c>
      <c r="AE15" s="5" t="n">
        <v>22956958016</v>
      </c>
      <c r="AF15" s="5" t="n">
        <v>16326523497</v>
      </c>
      <c r="AG15" s="9">
        <f>IF(OR(AD15="",AE15="",AF15=""),"",AD15+AE15-AF15)</f>
        <v/>
      </c>
      <c r="AH15" t="n">
        <v>33968363866</v>
      </c>
      <c r="AI15">
        <f>IF(AND(AG15="",AH15=""),"",IF(OR(AG15="",AH15=""),"불일치",IF(ABS(AG15-AH15)&lt;=MAX(1,ABS(AH15))*1E-9,"일치","불일치")))</f>
        <v/>
      </c>
      <c r="AJ15" s="5" t="n">
        <v>32424430614</v>
      </c>
      <c r="AK15" s="5" t="n">
        <v>37177934554</v>
      </c>
      <c r="AL15" s="5" t="n">
        <v>3298481730</v>
      </c>
      <c r="AM15" s="9">
        <f>IF(OR(AJ15="",AK15="",AL15=""),"",AJ15+AK15-AL15)</f>
        <v/>
      </c>
      <c r="AN15" t="n">
        <v>66303883438</v>
      </c>
      <c r="AO15">
        <f>IF(AND(AM15="",AN15=""),"",IF(OR(AM15="",AN15=""),"불일치",IF(ABS(AM15-AN15)&lt;=MAX(1,ABS(AN15))*1E-9,"일치","불일치")))</f>
        <v/>
      </c>
      <c r="AP15" s="5" t="n">
        <v>336766245910</v>
      </c>
      <c r="AQ15" s="5" t="n">
        <v>326339033895</v>
      </c>
      <c r="AR15" s="5" t="n">
        <v>682313521185</v>
      </c>
      <c r="AS15" s="5" t="n">
        <v>667926700116</v>
      </c>
      <c r="AT15" s="5" t="n">
        <v>23868300000</v>
      </c>
      <c r="AU15" s="5" t="n">
        <v>216383298440</v>
      </c>
      <c r="AV15" s="5" t="n">
        <v>19779068174</v>
      </c>
      <c r="AW15" s="5" t="n">
        <v>9015350588</v>
      </c>
      <c r="AX15" s="5" t="n">
        <v>0</v>
      </c>
      <c r="AY15" s="5" t="n">
        <v>0</v>
      </c>
      <c r="AZ15" s="9">
        <f>IFERROR(I15/E15,"")</f>
        <v/>
      </c>
      <c r="BA15" t="n">
        <v>0.119424787463694</v>
      </c>
      <c r="BB15">
        <f>IF(AND(AZ15="",BA15=""),"",IF(OR(AZ15="",BA15=""),"불일치",IF(ABS(AZ15-BA15)&lt;=MAX(1,ABS(BA15))*1E-9,"일치","불일치")))</f>
        <v/>
      </c>
      <c r="BC15" s="9">
        <f>IFERROR(IF(AP15&lt;=0,"",AP15/E15),"")</f>
        <v/>
      </c>
      <c r="BD15" t="n">
        <v>2.082455997895074</v>
      </c>
      <c r="BE15">
        <f>IF(AND(BC15="",BD15=""),"",IF(OR(BC15="",BD15=""),"불일치",IF(ABS(BC15-BD15)&lt;=MAX(1,ABS(BD15))*1E-9,"일치","불일치")))</f>
        <v/>
      </c>
      <c r="BF15" s="9">
        <f>IFERROR(IF(OR(AP15&lt;=0,AQ15&lt;=0),"",I15/((AP15+AQ15)/2)),"")</f>
        <v/>
      </c>
      <c r="BG15" t="n">
        <v>0.05824983626334376</v>
      </c>
      <c r="BH15">
        <f>IF(AND(BF15="",BG15=""),"",IF(OR(BF15="",BG15=""),"불일치",IF(ABS(BF15-BG15)&lt;=MAX(1,ABS(BG15))*1E-9,"일치","불일치")))</f>
        <v/>
      </c>
      <c r="BI15" s="9">
        <f>IFERROR(AA15/((AR15+AS15)/2),"")</f>
        <v/>
      </c>
      <c r="BJ15" t="n">
        <v>0.1232442112098092</v>
      </c>
      <c r="BK15">
        <f>IF(AND(BI15="",BJ15=""),"",IF(OR(BI15="",BJ15=""),"불일치",IF(ABS(BI15-BJ15)&lt;=MAX(1,ABS(BJ15))*1E-9,"일치","불일치")))</f>
        <v/>
      </c>
      <c r="BL15" s="9">
        <f>IFERROR(E15+AT15-AV15-AX15,"")</f>
        <v/>
      </c>
      <c r="BM15" t="n">
        <v>165805131826</v>
      </c>
      <c r="BN15">
        <f>IF(AND(BL15="",BM15=""),"",IF(OR(BL15="",BM15=""),"불일치",IF(ABS(BL15-BM15)&lt;=MAX(1,ABS(BM15))*1E-9,"일치","불일치")))</f>
        <v/>
      </c>
      <c r="BO15" s="9">
        <f>IFERROR(IF(OR(BL15&lt;=0,BL15&lt;0.1*E15),"",AG15/BL15),"")</f>
        <v/>
      </c>
      <c r="BP15" t="n">
        <v>0.2048691948910679</v>
      </c>
      <c r="BQ15">
        <f>IF(AND(BO15="",BP15=""),"",IF(OR(BO15="",BP15=""),"불일치",IF(ABS(BO15-BP15)&lt;=MAX(1,ABS(BP15))*1E-9,"일치","불일치")))</f>
        <v/>
      </c>
      <c r="BR15" s="9">
        <f>IFERROR(IF(O15&lt;=0,"",AM15/O15),"")</f>
        <v/>
      </c>
      <c r="BS15" t="n">
        <v>3.263895352878051</v>
      </c>
      <c r="BT15">
        <f>IF(AND(BR15="",BS15=""),"",IF(OR(BR15="",BS15=""),"불일치",IF(ABS(BR15-BS15)&lt;=MAX(1,ABS(BS15))*1E-9,"일치","불일치")))</f>
        <v/>
      </c>
    </row>
    <row r="16">
      <c r="A16" t="inlineStr">
        <is>
          <t>더라미</t>
        </is>
      </c>
      <c r="B16" t="inlineStr">
        <is>
          <t>032860</t>
        </is>
      </c>
      <c r="C16" t="inlineStr">
        <is>
          <t>2026Q2</t>
        </is>
      </c>
      <c r="D16" t="inlineStr">
        <is>
          <t>OFS</t>
        </is>
      </c>
      <c r="E16" t="n">
        <v>27711559960</v>
      </c>
      <c r="F16" s="5" t="n">
        <v>-1542948785</v>
      </c>
      <c r="G16" s="5" t="n">
        <v>-4645964740</v>
      </c>
      <c r="H16" s="5" t="n">
        <v>89252311</v>
      </c>
      <c r="I16" s="9">
        <f>IF(OR(F16="",G16="",H16=""),"",F16+G16-H16)</f>
        <v/>
      </c>
      <c r="J16" t="n">
        <v>-6278165836</v>
      </c>
      <c r="K16">
        <f>IF(AND(I16="",J16=""),"",IF(OR(I16="",J16=""),"불일치",IF(ABS(I16-J16)&lt;=MAX(1,ABS(J16))*1E-9,"일치","불일치")))</f>
        <v/>
      </c>
      <c r="L16" s="5" t="n">
        <v>-1542948785</v>
      </c>
      <c r="M16" s="5" t="n">
        <v>-4645964740</v>
      </c>
      <c r="N16" s="5" t="n">
        <v>89252311</v>
      </c>
      <c r="O16" s="9">
        <f>IF(OR(L16="",M16="",N16=""),"",L16+M16-N16)</f>
        <v/>
      </c>
      <c r="P16" t="n">
        <v>-6278165836</v>
      </c>
      <c r="Q16">
        <f>IF(AND(O16="",P16=""),"",IF(OR(O16="",P16=""),"불일치",IF(ABS(O16-P16)&lt;=MAX(1,ABS(P16))*1E-9,"일치","불일치")))</f>
        <v/>
      </c>
      <c r="R16" s="5" t="n">
        <v>22926644237</v>
      </c>
      <c r="S16" s="5" t="n">
        <v>50919669504</v>
      </c>
      <c r="T16" s="5" t="n">
        <v>25811866461</v>
      </c>
      <c r="U16" s="9">
        <f>IF(OR(R16="",S16="",T16=""),"",R16+S16-T16)</f>
        <v/>
      </c>
      <c r="V16" t="n">
        <v>48034447280</v>
      </c>
      <c r="W16">
        <f>IF(AND(U16="",V16=""),"",IF(OR(U16="",V16=""),"불일치",IF(ABS(U16-V16)&lt;=MAX(1,ABS(V16))*1E-9,"일치","불일치")))</f>
        <v/>
      </c>
      <c r="X16" s="5" t="n">
        <v>3611421447</v>
      </c>
      <c r="Y16" s="5" t="n">
        <v>7221644921</v>
      </c>
      <c r="Z16" s="5" t="n">
        <v>3131530313</v>
      </c>
      <c r="AA16" s="9">
        <f>IF(OR(X16="",Y16="",Z16=""),"",X16+Y16-Z16)</f>
        <v/>
      </c>
      <c r="AB16" t="n">
        <v>7701536055</v>
      </c>
      <c r="AC16">
        <f>IF(AND(AA16="",AB16=""),"",IF(OR(AA16="",AB16=""),"불일치",IF(ABS(AA16-AB16)&lt;=MAX(1,ABS(AB16))*1E-9,"일치","불일치")))</f>
        <v/>
      </c>
      <c r="AD16" s="5" t="n">
        <v>-1473534255</v>
      </c>
      <c r="AE16" s="5" t="n">
        <v>-1720450576</v>
      </c>
      <c r="AF16" s="5" t="n">
        <v>-1144457906</v>
      </c>
      <c r="AG16" s="9">
        <f>IF(OR(AD16="",AE16="",AF16=""),"",AD16+AE16-AF16)</f>
        <v/>
      </c>
      <c r="AH16" t="n">
        <v>-2049526925</v>
      </c>
      <c r="AI16">
        <f>IF(AND(AG16="",AH16=""),"",IF(OR(AG16="",AH16=""),"불일치",IF(ABS(AG16-AH16)&lt;=MAX(1,ABS(AH16))*1E-9,"일치","불일치")))</f>
        <v/>
      </c>
      <c r="AJ16" s="5" t="n">
        <v>-2569861872</v>
      </c>
      <c r="AK16" s="5" t="n">
        <v>-2128493654</v>
      </c>
      <c r="AL16" s="5" t="n">
        <v>-535274535</v>
      </c>
      <c r="AM16" s="9">
        <f>IF(OR(AJ16="",AK16="",AL16=""),"",AJ16+AK16-AL16)</f>
        <v/>
      </c>
      <c r="AN16" t="n">
        <v>-4163080991</v>
      </c>
      <c r="AO16">
        <f>IF(AND(AM16="",AN16=""),"",IF(OR(AM16="",AN16=""),"불일치",IF(ABS(AM16-AN16)&lt;=MAX(1,ABS(AN16))*1E-9,"일치","불일치")))</f>
        <v/>
      </c>
      <c r="AP16" s="5" t="n">
        <v>50862387832</v>
      </c>
      <c r="AQ16" s="5" t="n">
        <v>56797380269</v>
      </c>
      <c r="AR16" s="5" t="n">
        <v>53855747777</v>
      </c>
      <c r="AS16" s="5" t="n">
        <v>59222615141</v>
      </c>
      <c r="AT16" s="5" t="n">
        <v>453393640</v>
      </c>
      <c r="AU16" s="5" t="n">
        <v>597663053</v>
      </c>
      <c r="AV16" s="5" t="n">
        <v>1102080565</v>
      </c>
      <c r="AW16" s="5" t="n">
        <v>2733164415</v>
      </c>
      <c r="AX16" s="5" t="n">
        <v>0</v>
      </c>
      <c r="AY16" s="5" t="n">
        <v>0</v>
      </c>
      <c r="AZ16" s="9">
        <f>IFERROR(I16/E16,"")</f>
        <v/>
      </c>
      <c r="BA16" t="n">
        <v>-0.2265540390025737</v>
      </c>
      <c r="BB16">
        <f>IF(AND(AZ16="",BA16=""),"",IF(OR(AZ16="",BA16=""),"불일치",IF(ABS(AZ16-BA16)&lt;=MAX(1,ABS(BA16))*1E-9,"일치","불일치")))</f>
        <v/>
      </c>
      <c r="BC16" s="9">
        <f>IFERROR(IF(AP16&lt;=0,"",AP16/E16),"")</f>
        <v/>
      </c>
      <c r="BD16" t="n">
        <v>1.835421315343375</v>
      </c>
      <c r="BE16">
        <f>IF(AND(BC16="",BD16=""),"",IF(OR(BC16="",BD16=""),"불일치",IF(ABS(BC16-BD16)&lt;=MAX(1,ABS(BD16))*1E-9,"일치","불일치")))</f>
        <v/>
      </c>
      <c r="BF16" s="9">
        <f>IFERROR(IF(OR(AP16&lt;=0,AQ16&lt;=0),"",I16/((AP16+AQ16)/2)),"")</f>
        <v/>
      </c>
      <c r="BG16" t="n">
        <v>-0.1166297484518116</v>
      </c>
      <c r="BH16">
        <f>IF(AND(BF16="",BG16=""),"",IF(OR(BF16="",BG16=""),"불일치",IF(ABS(BF16-BG16)&lt;=MAX(1,ABS(BG16))*1E-9,"일치","불일치")))</f>
        <v/>
      </c>
      <c r="BI16" s="9">
        <f>IFERROR(AA16/((AR16+AS16)/2),"")</f>
        <v/>
      </c>
      <c r="BJ16" t="n">
        <v>0.1362159100337321</v>
      </c>
      <c r="BK16">
        <f>IF(AND(BI16="",BJ16=""),"",IF(OR(BI16="",BJ16=""),"불일치",IF(ABS(BI16-BJ16)&lt;=MAX(1,ABS(BJ16))*1E-9,"일치","불일치")))</f>
        <v/>
      </c>
      <c r="BL16" s="9">
        <f>IFERROR(E16+AT16-AV16-AX16,"")</f>
        <v/>
      </c>
      <c r="BM16" t="n">
        <v>27062873035</v>
      </c>
      <c r="BN16">
        <f>IF(AND(BL16="",BM16=""),"",IF(OR(BL16="",BM16=""),"불일치",IF(ABS(BL16-BM16)&lt;=MAX(1,ABS(BM16))*1E-9,"일치","불일치")))</f>
        <v/>
      </c>
      <c r="BO16" s="9">
        <f>IFERROR(IF(OR(BL16&lt;=0,BL16&lt;0.1*E16),"",AG16/BL16),"")</f>
        <v/>
      </c>
      <c r="BP16" t="n">
        <v>-0.07573205262979205</v>
      </c>
      <c r="BQ16">
        <f>IF(AND(BO16="",BP16=""),"",IF(OR(BO16="",BP16=""),"불일치",IF(ABS(BO16-BP16)&lt;=MAX(1,ABS(BP16))*1E-9,"일치","불일치")))</f>
        <v/>
      </c>
      <c r="BR16" s="9">
        <f>IFERROR(IF(O16&lt;=0,"",AM16/O16),"")</f>
        <v/>
      </c>
      <c r="BT16">
        <f>IF(AND(BR16="",BS16=""),"",IF(OR(BR16="",BS16=""),"불일치",IF(ABS(BR16-BS16)&lt;=MAX(1,ABS(BS16))*1E-9,"일치","불일치")))</f>
        <v/>
      </c>
    </row>
    <row r="17">
      <c r="A17" t="inlineStr">
        <is>
          <t>인크레더블버즈</t>
        </is>
      </c>
      <c r="B17" t="inlineStr">
        <is>
          <t>064090</t>
        </is>
      </c>
      <c r="C17" t="inlineStr">
        <is>
          <t>2026Q2</t>
        </is>
      </c>
      <c r="D17" t="inlineStr">
        <is>
          <t>CFS</t>
        </is>
      </c>
      <c r="E17" t="n">
        <v>39694710510</v>
      </c>
      <c r="F17" s="5" t="n">
        <v>-6909467351</v>
      </c>
      <c r="G17" s="5" t="n">
        <v>-30204179171</v>
      </c>
      <c r="H17" s="5" t="n">
        <v>-19703292955</v>
      </c>
      <c r="I17" s="9">
        <f>IF(OR(F17="",G17="",H17=""),"",F17+G17-H17)</f>
        <v/>
      </c>
      <c r="J17" t="n">
        <v>-17410353567</v>
      </c>
      <c r="K17">
        <f>IF(AND(I17="",J17=""),"",IF(OR(I17="",J17=""),"불일치",IF(ABS(I17-J17)&lt;=MAX(1,ABS(J17))*1E-9,"일치","불일치")))</f>
        <v/>
      </c>
      <c r="L17" s="5" t="n">
        <v>-6909467351</v>
      </c>
      <c r="M17" s="5" t="n">
        <v>-30204179171</v>
      </c>
      <c r="N17" s="5" t="n">
        <v>-19703292955</v>
      </c>
      <c r="O17" s="9">
        <f>IF(OR(L17="",M17="",N17=""),"",L17+M17-N17)</f>
        <v/>
      </c>
      <c r="P17" t="n">
        <v>-17410353567</v>
      </c>
      <c r="Q17">
        <f>IF(AND(O17="",P17=""),"",IF(OR(O17="",P17=""),"불일치",IF(ABS(O17-P17)&lt;=MAX(1,ABS(P17))*1E-9,"일치","불일치")))</f>
        <v/>
      </c>
      <c r="R17" s="5" t="n">
        <v>2073836942</v>
      </c>
      <c r="S17" s="5" t="n">
        <v>7211902064</v>
      </c>
      <c r="T17" s="5" t="n">
        <v>3487501944</v>
      </c>
      <c r="U17" s="9">
        <f>IF(OR(R17="",S17="",T17=""),"",R17+S17-T17)</f>
        <v/>
      </c>
      <c r="V17" t="n">
        <v>5798237062</v>
      </c>
      <c r="W17">
        <f>IF(AND(U17="",V17=""),"",IF(OR(U17="",V17=""),"불일치",IF(ABS(U17-V17)&lt;=MAX(1,ABS(V17))*1E-9,"일치","불일치")))</f>
        <v/>
      </c>
      <c r="X17" s="5" t="n">
        <v>1106347278</v>
      </c>
      <c r="Y17" s="5" t="n">
        <v>3586087178</v>
      </c>
      <c r="Z17" s="5" t="n">
        <v>1652379912</v>
      </c>
      <c r="AA17" s="9">
        <f>IF(OR(X17="",Y17="",Z17=""),"",X17+Y17-Z17)</f>
        <v/>
      </c>
      <c r="AB17" t="n">
        <v>3040054544</v>
      </c>
      <c r="AC17">
        <f>IF(AND(AA17="",AB17=""),"",IF(OR(AA17="",AB17=""),"불일치",IF(ABS(AA17-AB17)&lt;=MAX(1,ABS(AB17))*1E-9,"일치","불일치")))</f>
        <v/>
      </c>
      <c r="AD17" s="5" t="n">
        <v>-4807331916</v>
      </c>
      <c r="AE17" s="5" t="n">
        <v>-6078614066</v>
      </c>
      <c r="AF17" s="5" t="n">
        <v>-2749394883</v>
      </c>
      <c r="AG17" s="9">
        <f>IF(OR(AD17="",AE17="",AF17=""),"",AD17+AE17-AF17)</f>
        <v/>
      </c>
      <c r="AH17" t="n">
        <v>-8136551099</v>
      </c>
      <c r="AI17">
        <f>IF(AND(AG17="",AH17=""),"",IF(OR(AG17="",AH17=""),"불일치",IF(ABS(AG17-AH17)&lt;=MAX(1,ABS(AH17))*1E-9,"일치","불일치")))</f>
        <v/>
      </c>
      <c r="AJ17" s="5" t="n">
        <v>-5949522778</v>
      </c>
      <c r="AK17" s="5" t="n">
        <v>-11261287301</v>
      </c>
      <c r="AL17" s="5" t="n">
        <v>-9377985259</v>
      </c>
      <c r="AM17" s="9">
        <f>IF(OR(AJ17="",AK17="",AL17=""),"",AJ17+AK17-AL17)</f>
        <v/>
      </c>
      <c r="AN17" t="n">
        <v>-7832824820</v>
      </c>
      <c r="AO17">
        <f>IF(AND(AM17="",AN17=""),"",IF(OR(AM17="",AN17=""),"불일치",IF(ABS(AM17-AN17)&lt;=MAX(1,ABS(AN17))*1E-9,"일치","불일치")))</f>
        <v/>
      </c>
      <c r="AP17" s="5" t="n">
        <v>59853498326</v>
      </c>
      <c r="AQ17" s="5" t="n">
        <v>77196847591</v>
      </c>
      <c r="AR17" s="5" t="n">
        <v>60849218596</v>
      </c>
      <c r="AS17" s="5" t="n">
        <v>81169554451</v>
      </c>
      <c r="AT17" s="5" t="n">
        <v>356132852</v>
      </c>
      <c r="AU17" s="5" t="n">
        <v>2815857511</v>
      </c>
      <c r="AV17" s="5" t="n">
        <v>18682611952</v>
      </c>
      <c r="AW17" s="5" t="n">
        <v>8873205356</v>
      </c>
      <c r="AX17" s="5" t="n">
        <v>0</v>
      </c>
      <c r="AY17" s="5" t="n">
        <v>0</v>
      </c>
      <c r="AZ17" s="9">
        <f>IFERROR(I17/E17,"")</f>
        <v/>
      </c>
      <c r="BA17" t="n">
        <v>-0.4386063871813333</v>
      </c>
      <c r="BB17">
        <f>IF(AND(AZ17="",BA17=""),"",IF(OR(AZ17="",BA17=""),"불일치",IF(ABS(AZ17-BA17)&lt;=MAX(1,ABS(BA17))*1E-9,"일치","불일치")))</f>
        <v/>
      </c>
      <c r="BC17" s="9">
        <f>IFERROR(IF(AP17&lt;=0,"",AP17/E17),"")</f>
        <v/>
      </c>
      <c r="BD17" t="n">
        <v>1.507845694224714</v>
      </c>
      <c r="BE17">
        <f>IF(AND(BC17="",BD17=""),"",IF(OR(BC17="",BD17=""),"불일치",IF(ABS(BC17-BD17)&lt;=MAX(1,ABS(BD17))*1E-9,"일치","불일치")))</f>
        <v/>
      </c>
      <c r="BF17" s="9">
        <f>IFERROR(IF(OR(AP17&lt;=0,AQ17&lt;=0),"",I17/((AP17+AQ17)/2)),"")</f>
        <v/>
      </c>
      <c r="BG17" t="n">
        <v>-0.254072376840902</v>
      </c>
      <c r="BH17">
        <f>IF(AND(BF17="",BG17=""),"",IF(OR(BF17="",BG17=""),"불일치",IF(ABS(BF17-BG17)&lt;=MAX(1,ABS(BG17))*1E-9,"일치","불일치")))</f>
        <v/>
      </c>
      <c r="BI17" s="9">
        <f>IFERROR(AA17/((AR17+AS17)/2),"")</f>
        <v/>
      </c>
      <c r="BJ17" t="n">
        <v>0.04281200969105567</v>
      </c>
      <c r="BK17">
        <f>IF(AND(BI17="",BJ17=""),"",IF(OR(BI17="",BJ17=""),"불일치",IF(ABS(BI17-BJ17)&lt;=MAX(1,ABS(BJ17))*1E-9,"일치","불일치")))</f>
        <v/>
      </c>
      <c r="BL17" s="9">
        <f>IFERROR(E17+AT17-AV17-AX17,"")</f>
        <v/>
      </c>
      <c r="BM17" t="n">
        <v>21368231410</v>
      </c>
      <c r="BN17">
        <f>IF(AND(BL17="",BM17=""),"",IF(OR(BL17="",BM17=""),"불일치",IF(ABS(BL17-BM17)&lt;=MAX(1,ABS(BM17))*1E-9,"일치","불일치")))</f>
        <v/>
      </c>
      <c r="BO17" s="9">
        <f>IFERROR(IF(OR(BL17&lt;=0,BL17&lt;0.1*E17),"",AG17/BL17),"")</f>
        <v/>
      </c>
      <c r="BP17" t="n">
        <v>-0.3807779381868834</v>
      </c>
      <c r="BQ17">
        <f>IF(AND(BO17="",BP17=""),"",IF(OR(BO17="",BP17=""),"불일치",IF(ABS(BO17-BP17)&lt;=MAX(1,ABS(BP17))*1E-9,"일치","불일치")))</f>
        <v/>
      </c>
      <c r="BR17" s="9">
        <f>IFERROR(IF(O17&lt;=0,"",AM17/O17),"")</f>
        <v/>
      </c>
      <c r="BT17">
        <f>IF(AND(BR17="",BS17=""),"",IF(OR(BR17="",BS17=""),"불일치",IF(ABS(BR17-BS17)&lt;=MAX(1,ABS(BS17))*1E-9,"일치","불일치")))</f>
        <v/>
      </c>
    </row>
    <row r="18">
      <c r="A18" t="inlineStr">
        <is>
          <t>비피도</t>
        </is>
      </c>
      <c r="B18" t="inlineStr">
        <is>
          <t>238200</t>
        </is>
      </c>
      <c r="C18" t="inlineStr">
        <is>
          <t>2026Q2</t>
        </is>
      </c>
      <c r="D18" t="inlineStr">
        <is>
          <t>CFS</t>
        </is>
      </c>
      <c r="E18" t="n">
        <v>20531800000</v>
      </c>
      <c r="F18" s="5" t="n">
        <v>2985511589</v>
      </c>
      <c r="G18" s="5" t="n">
        <v>-192738194</v>
      </c>
      <c r="H18" s="5" t="n">
        <v>944061172</v>
      </c>
      <c r="I18" s="9">
        <f>IF(OR(F18="",G18="",H18=""),"",F18+G18-H18)</f>
        <v/>
      </c>
      <c r="J18" t="n">
        <v>1848712223</v>
      </c>
      <c r="K18">
        <f>IF(AND(I18="",J18=""),"",IF(OR(I18="",J18=""),"불일치",IF(ABS(I18-J18)&lt;=MAX(1,ABS(J18))*1E-9,"일치","불일치")))</f>
        <v/>
      </c>
      <c r="L18" s="5" t="n">
        <v>2985511589</v>
      </c>
      <c r="M18" s="5" t="n">
        <v>-192738194</v>
      </c>
      <c r="N18" s="5" t="n">
        <v>944061172</v>
      </c>
      <c r="O18" s="9">
        <f>IF(OR(L18="",M18="",N18=""),"",L18+M18-N18)</f>
        <v/>
      </c>
      <c r="P18" t="n">
        <v>1848712223</v>
      </c>
      <c r="Q18">
        <f>IF(AND(O18="",P18=""),"",IF(OR(O18="",P18=""),"불일치",IF(ABS(O18-P18)&lt;=MAX(1,ABS(P18))*1E-9,"일치","불일치")))</f>
        <v/>
      </c>
      <c r="R18" s="5" t="n">
        <v>6097108233</v>
      </c>
      <c r="S18" s="5" t="n">
        <v>19678962044</v>
      </c>
      <c r="T18" s="5" t="n">
        <v>11145177099</v>
      </c>
      <c r="U18" s="9">
        <f>IF(OR(R18="",S18="",T18=""),"",R18+S18-T18)</f>
        <v/>
      </c>
      <c r="V18" t="n">
        <v>14630893178</v>
      </c>
      <c r="W18">
        <f>IF(AND(U18="",V18=""),"",IF(OR(U18="",V18=""),"불일치",IF(ABS(U18-V18)&lt;=MAX(1,ABS(V18))*1E-9,"일치","불일치")))</f>
        <v/>
      </c>
      <c r="X18" s="5" t="n">
        <v>1749219629</v>
      </c>
      <c r="Y18" s="5" t="n">
        <v>7490087612</v>
      </c>
      <c r="Z18" s="5" t="n">
        <v>4652881430</v>
      </c>
      <c r="AA18" s="9">
        <f>IF(OR(X18="",Y18="",Z18=""),"",X18+Y18-Z18)</f>
        <v/>
      </c>
      <c r="AB18" t="n">
        <v>4586425811</v>
      </c>
      <c r="AC18">
        <f>IF(AND(AA18="",AB18=""),"",IF(OR(AA18="",AB18=""),"불일치",IF(ABS(AA18-AB18)&lt;=MAX(1,ABS(AB18))*1E-9,"일치","불일치")))</f>
        <v/>
      </c>
      <c r="AD18" s="5" t="n">
        <v>-1006768137</v>
      </c>
      <c r="AE18" s="5" t="n">
        <v>1403074063</v>
      </c>
      <c r="AF18" s="5" t="n">
        <v>1418462945</v>
      </c>
      <c r="AG18" s="9">
        <f>IF(OR(AD18="",AE18="",AF18=""),"",AD18+AE18-AF18)</f>
        <v/>
      </c>
      <c r="AH18" t="n">
        <v>-1022157019</v>
      </c>
      <c r="AI18">
        <f>IF(AND(AG18="",AH18=""),"",IF(OR(AG18="",AH18=""),"불일치",IF(ABS(AG18-AH18)&lt;=MAX(1,ABS(AH18))*1E-9,"일치","불일치")))</f>
        <v/>
      </c>
      <c r="AJ18" s="5" t="n">
        <v>434757269</v>
      </c>
      <c r="AK18" s="5" t="n">
        <v>3950289717</v>
      </c>
      <c r="AL18" s="5" t="n">
        <v>3228062267</v>
      </c>
      <c r="AM18" s="9">
        <f>IF(OR(AJ18="",AK18="",AL18=""),"",AJ18+AK18-AL18)</f>
        <v/>
      </c>
      <c r="AN18" t="n">
        <v>1156984719</v>
      </c>
      <c r="AO18">
        <f>IF(AND(AM18="",AN18=""),"",IF(OR(AM18="",AN18=""),"불일치",IF(ABS(AM18-AN18)&lt;=MAX(1,ABS(AN18))*1E-9,"일치","불일치")))</f>
        <v/>
      </c>
      <c r="AP18" s="5" t="n">
        <v>48936211986</v>
      </c>
      <c r="AQ18" s="5" t="n">
        <v>47661578613</v>
      </c>
      <c r="AR18" s="5" t="n">
        <v>64211897855</v>
      </c>
      <c r="AS18" s="5" t="n">
        <v>63832771470</v>
      </c>
      <c r="AT18" s="5" t="n">
        <v>217685043</v>
      </c>
      <c r="AU18" s="5" t="n">
        <v>261642359</v>
      </c>
      <c r="AV18" s="5" t="n">
        <v>7609889752</v>
      </c>
      <c r="AW18" s="5" t="n">
        <v>5995569193</v>
      </c>
      <c r="AX18" s="5" t="n">
        <v>0</v>
      </c>
      <c r="AY18" s="5" t="n">
        <v>0</v>
      </c>
      <c r="AZ18" s="9">
        <f>IFERROR(I18/E18,"")</f>
        <v/>
      </c>
      <c r="BA18" t="n">
        <v>0.09004141005659513</v>
      </c>
      <c r="BB18">
        <f>IF(AND(AZ18="",BA18=""),"",IF(OR(AZ18="",BA18=""),"불일치",IF(ABS(AZ18-BA18)&lt;=MAX(1,ABS(BA18))*1E-9,"일치","불일치")))</f>
        <v/>
      </c>
      <c r="BC18" s="9">
        <f>IFERROR(IF(AP18&lt;=0,"",AP18/E18),"")</f>
        <v/>
      </c>
      <c r="BD18" t="n">
        <v>2.383435061027285</v>
      </c>
      <c r="BE18">
        <f>IF(AND(BC18="",BD18=""),"",IF(OR(BC18="",BD18=""),"불일치",IF(ABS(BC18-BD18)&lt;=MAX(1,ABS(BD18))*1E-9,"일치","불일치")))</f>
        <v/>
      </c>
      <c r="BF18" s="9">
        <f>IFERROR(IF(OR(AP18&lt;=0,AQ18&lt;=0),"",I18/((AP18+AQ18)/2)),"")</f>
        <v/>
      </c>
      <c r="BG18" t="n">
        <v>0.03827649082936972</v>
      </c>
      <c r="BH18">
        <f>IF(AND(BF18="",BG18=""),"",IF(OR(BF18="",BG18=""),"불일치",IF(ABS(BF18-BG18)&lt;=MAX(1,ABS(BG18))*1E-9,"일치","불일치")))</f>
        <v/>
      </c>
      <c r="BI18" s="9">
        <f>IFERROR(AA18/((AR18+AS18)/2),"")</f>
        <v/>
      </c>
      <c r="BJ18" t="n">
        <v>0.07163790316579038</v>
      </c>
      <c r="BK18">
        <f>IF(AND(BI18="",BJ18=""),"",IF(OR(BI18="",BJ18=""),"불일치",IF(ABS(BI18-BJ18)&lt;=MAX(1,ABS(BJ18))*1E-9,"일치","불일치")))</f>
        <v/>
      </c>
      <c r="BL18" s="9">
        <f>IFERROR(E18+AT18-AV18-AX18,"")</f>
        <v/>
      </c>
      <c r="BM18" t="n">
        <v>13139595291</v>
      </c>
      <c r="BN18">
        <f>IF(AND(BL18="",BM18=""),"",IF(OR(BL18="",BM18=""),"불일치",IF(ABS(BL18-BM18)&lt;=MAX(1,ABS(BM18))*1E-9,"일치","불일치")))</f>
        <v/>
      </c>
      <c r="BO18" s="9">
        <f>IFERROR(IF(OR(BL18&lt;=0,BL18&lt;0.1*E18),"",AG18/BL18),"")</f>
        <v/>
      </c>
      <c r="BP18" t="n">
        <v>-0.07779212345300537</v>
      </c>
      <c r="BQ18">
        <f>IF(AND(BO18="",BP18=""),"",IF(OR(BO18="",BP18=""),"불일치",IF(ABS(BO18-BP18)&lt;=MAX(1,ABS(BP18))*1E-9,"일치","불일치")))</f>
        <v/>
      </c>
      <c r="BR18" s="9">
        <f>IFERROR(IF(O18&lt;=0,"",AM18/O18),"")</f>
        <v/>
      </c>
      <c r="BS18" t="n">
        <v>0.6258327849006708</v>
      </c>
      <c r="BT18">
        <f>IF(AND(BR18="",BS18=""),"",IF(OR(BR18="",BS18=""),"불일치",IF(ABS(BR18-BS18)&lt;=MAX(1,ABS(BS18))*1E-9,"일치","불일치")))</f>
        <v/>
      </c>
    </row>
    <row r="19">
      <c r="A19" t="inlineStr">
        <is>
          <t>에이프로젠바이오로직스</t>
        </is>
      </c>
      <c r="B19" t="inlineStr">
        <is>
          <t>003060</t>
        </is>
      </c>
      <c r="C19" t="inlineStr">
        <is>
          <t>2026Q2</t>
        </is>
      </c>
      <c r="D19" t="inlineStr">
        <is>
          <t>CFS</t>
        </is>
      </c>
      <c r="E19" t="n">
        <v>40156133835</v>
      </c>
      <c r="F19" s="5" t="n">
        <v>-17872159378</v>
      </c>
      <c r="G19" s="5" t="n">
        <v>-170330530390</v>
      </c>
      <c r="H19" s="5" t="n">
        <v>-109906842990</v>
      </c>
      <c r="I19" s="9">
        <f>IF(OR(F19="",G19="",H19=""),"",F19+G19-H19)</f>
        <v/>
      </c>
      <c r="J19" t="n">
        <v>-78295846778</v>
      </c>
      <c r="K19">
        <f>IF(AND(I19="",J19=""),"",IF(OR(I19="",J19=""),"불일치",IF(ABS(I19-J19)&lt;=MAX(1,ABS(J19))*1E-9,"일치","불일치")))</f>
        <v/>
      </c>
      <c r="L19" s="5" t="n">
        <v>-14238516596</v>
      </c>
      <c r="M19" s="5" t="n">
        <v>-168296872201</v>
      </c>
      <c r="N19" s="5" t="n">
        <v>-109943034717</v>
      </c>
      <c r="O19" s="9">
        <f>IF(OR(L19="",M19="",N19=""),"",L19+M19-N19)</f>
        <v/>
      </c>
      <c r="P19" t="n">
        <v>-72592354080</v>
      </c>
      <c r="Q19">
        <f>IF(AND(O19="",P19=""),"",IF(OR(O19="",P19=""),"불일치",IF(ABS(O19-P19)&lt;=MAX(1,ABS(P19))*1E-9,"일치","불일치")))</f>
        <v/>
      </c>
      <c r="R19" s="5" t="n">
        <v>44698557114</v>
      </c>
      <c r="S19" s="5" t="n">
        <v>73226140158</v>
      </c>
      <c r="T19" s="5" t="n">
        <v>31744140230</v>
      </c>
      <c r="U19" s="9">
        <f>IF(OR(R19="",S19="",T19=""),"",R19+S19-T19)</f>
        <v/>
      </c>
      <c r="V19" t="n">
        <v>86180557042</v>
      </c>
      <c r="W19">
        <f>IF(AND(U19="",V19=""),"",IF(OR(U19="",V19=""),"불일치",IF(ABS(U19-V19)&lt;=MAX(1,ABS(V19))*1E-9,"일치","불일치")))</f>
        <v/>
      </c>
      <c r="X19" s="5" t="n">
        <v>-14233943292</v>
      </c>
      <c r="Y19" s="5" t="n">
        <v>-27031797009</v>
      </c>
      <c r="Z19" s="5" t="n">
        <v>-17728748304</v>
      </c>
      <c r="AA19" s="9">
        <f>IF(OR(X19="",Y19="",Z19=""),"",X19+Y19-Z19)</f>
        <v/>
      </c>
      <c r="AB19" t="n">
        <v>-23536991997</v>
      </c>
      <c r="AC19">
        <f>IF(AND(AA19="",AB19=""),"",IF(OR(AA19="",AB19=""),"불일치",IF(ABS(AA19-AB19)&lt;=MAX(1,ABS(AB19))*1E-9,"일치","불일치")))</f>
        <v/>
      </c>
      <c r="AD19" s="5" t="n">
        <v>-31074598752</v>
      </c>
      <c r="AE19" s="5" t="n">
        <v>-60354664385</v>
      </c>
      <c r="AF19" s="5" t="n">
        <v>-33689259920</v>
      </c>
      <c r="AG19" s="9">
        <f>IF(OR(AD19="",AE19="",AF19=""),"",AD19+AE19-AF19)</f>
        <v/>
      </c>
      <c r="AH19" t="n">
        <v>-57740003217</v>
      </c>
      <c r="AI19">
        <f>IF(AND(AG19="",AH19=""),"",IF(OR(AG19="",AH19=""),"불일치",IF(ABS(AG19-AH19)&lt;=MAX(1,ABS(AH19))*1E-9,"일치","불일치")))</f>
        <v/>
      </c>
      <c r="AJ19" s="5" t="n">
        <v>-15813360386</v>
      </c>
      <c r="AK19" s="5" t="n">
        <v>-38232646549</v>
      </c>
      <c r="AL19" s="5" t="n">
        <v>-21725749483</v>
      </c>
      <c r="AM19" s="9">
        <f>IF(OR(AJ19="",AK19="",AL19=""),"",AJ19+AK19-AL19)</f>
        <v/>
      </c>
      <c r="AN19" t="n">
        <v>-32320257452</v>
      </c>
      <c r="AO19">
        <f>IF(AND(AM19="",AN19=""),"",IF(OR(AM19="",AN19=""),"불일치",IF(ABS(AM19-AN19)&lt;=MAX(1,ABS(AN19))*1E-9,"일치","불일치")))</f>
        <v/>
      </c>
      <c r="AP19" s="5" t="n">
        <v>194239460560</v>
      </c>
      <c r="AQ19" s="5" t="n">
        <v>267735466551</v>
      </c>
      <c r="AR19" s="5" t="n">
        <v>548412752055</v>
      </c>
      <c r="AS19" s="5" t="n">
        <v>600065401483</v>
      </c>
      <c r="AT19" s="5" t="n">
        <v>189950911938</v>
      </c>
      <c r="AU19" s="5" t="n">
        <v>161457373663</v>
      </c>
      <c r="AV19" s="5" t="n">
        <v>22427828883</v>
      </c>
      <c r="AW19" s="5" t="n">
        <v>25732454114</v>
      </c>
      <c r="AX19" s="5" t="n">
        <v>0</v>
      </c>
      <c r="AY19" s="5" t="n">
        <v>0</v>
      </c>
      <c r="AZ19" s="9">
        <f>IFERROR(I19/E19,"")</f>
        <v/>
      </c>
      <c r="BA19" t="n">
        <v>-1.949785482330411</v>
      </c>
      <c r="BB19">
        <f>IF(AND(AZ19="",BA19=""),"",IF(OR(AZ19="",BA19=""),"불일치",IF(ABS(AZ19-BA19)&lt;=MAX(1,ABS(BA19))*1E-9,"일치","불일치")))</f>
        <v/>
      </c>
      <c r="BC19" s="9">
        <f>IFERROR(IF(AP19&lt;=0,"",AP19/E19),"")</f>
        <v/>
      </c>
      <c r="BD19" t="n">
        <v>4.837105617740055</v>
      </c>
      <c r="BE19">
        <f>IF(AND(BC19="",BD19=""),"",IF(OR(BC19="",BD19=""),"불일치",IF(ABS(BC19-BD19)&lt;=MAX(1,ABS(BD19))*1E-9,"일치","불일치")))</f>
        <v/>
      </c>
      <c r="BF19" s="9">
        <f>IFERROR(IF(OR(AP19&lt;=0,AQ19&lt;=0),"",I19/((AP19+AQ19)/2)),"")</f>
        <v/>
      </c>
      <c r="BG19" t="n">
        <v>-0.3389614551925137</v>
      </c>
      <c r="BH19">
        <f>IF(AND(BF19="",BG19=""),"",IF(OR(BF19="",BG19=""),"불일치",IF(ABS(BF19-BG19)&lt;=MAX(1,ABS(BG19))*1E-9,"일치","불일치")))</f>
        <v/>
      </c>
      <c r="BI19" s="9">
        <f>IFERROR(AA19/((AR19+AS19)/2),"")</f>
        <v/>
      </c>
      <c r="BJ19" t="n">
        <v>-0.04098814056582963</v>
      </c>
      <c r="BK19">
        <f>IF(AND(BI19="",BJ19=""),"",IF(OR(BI19="",BJ19=""),"불일치",IF(ABS(BI19-BJ19)&lt;=MAX(1,ABS(BJ19))*1E-9,"일치","불일치")))</f>
        <v/>
      </c>
      <c r="BL19" s="9">
        <f>IFERROR(E19+AT19-AV19-AX19,"")</f>
        <v/>
      </c>
      <c r="BM19" t="n">
        <v>207679216890</v>
      </c>
      <c r="BN19">
        <f>IF(AND(BL19="",BM19=""),"",IF(OR(BL19="",BM19=""),"불일치",IF(ABS(BL19-BM19)&lt;=MAX(1,ABS(BM19))*1E-9,"일치","불일치")))</f>
        <v/>
      </c>
      <c r="BO19" s="9">
        <f>IFERROR(IF(OR(BL19&lt;=0,BL19&lt;0.1*E19),"",AG19/BL19),"")</f>
        <v/>
      </c>
      <c r="BP19" t="n">
        <v>-0.2780249467503662</v>
      </c>
      <c r="BQ19">
        <f>IF(AND(BO19="",BP19=""),"",IF(OR(BO19="",BP19=""),"불일치",IF(ABS(BO19-BP19)&lt;=MAX(1,ABS(BP19))*1E-9,"일치","불일치")))</f>
        <v/>
      </c>
      <c r="BR19" s="9">
        <f>IFERROR(IF(O19&lt;=0,"",AM19/O19),"")</f>
        <v/>
      </c>
      <c r="BT19">
        <f>IF(AND(BR19="",BS19=""),"",IF(OR(BR19="",BS19=""),"불일치",IF(ABS(BR19-BS19)&lt;=MAX(1,ABS(BS19))*1E-9,"일치","불일치")))</f>
        <v/>
      </c>
    </row>
    <row r="20">
      <c r="A20" t="inlineStr">
        <is>
          <t>SGC E&amp;C</t>
        </is>
      </c>
      <c r="B20" t="inlineStr">
        <is>
          <t>016250</t>
        </is>
      </c>
      <c r="C20" t="inlineStr">
        <is>
          <t>2026Q2</t>
        </is>
      </c>
      <c r="D20" t="inlineStr">
        <is>
          <t>CFS</t>
        </is>
      </c>
      <c r="E20" t="n">
        <v>52586133840</v>
      </c>
      <c r="F20" s="5" t="n">
        <v>14255757950</v>
      </c>
      <c r="G20" s="5" t="n">
        <v>-64493456226</v>
      </c>
      <c r="H20" s="5" t="n">
        <v>-4053504027</v>
      </c>
      <c r="I20" s="9">
        <f>IF(OR(F20="",G20="",H20=""),"",F20+G20-H20)</f>
        <v/>
      </c>
      <c r="J20" t="n">
        <v>-46184194249</v>
      </c>
      <c r="K20">
        <f>IF(AND(I20="",J20=""),"",IF(OR(I20="",J20=""),"불일치",IF(ABS(I20-J20)&lt;=MAX(1,ABS(J20))*1E-9,"일치","불일치")))</f>
        <v/>
      </c>
      <c r="L20" s="5" t="n">
        <v>10244585175</v>
      </c>
      <c r="M20" s="5" t="n">
        <v>-74826698792</v>
      </c>
      <c r="N20" s="5" t="n">
        <v>-7872574128</v>
      </c>
      <c r="O20" s="9">
        <f>IF(OR(L20="",M20="",N20=""),"",L20+M20-N20)</f>
        <v/>
      </c>
      <c r="P20" t="n">
        <v>-56709539489</v>
      </c>
      <c r="Q20">
        <f>IF(AND(O20="",P20=""),"",IF(OR(O20="",P20=""),"불일치",IF(ABS(O20-P20)&lt;=MAX(1,ABS(P20))*1E-9,"일치","불일치")))</f>
        <v/>
      </c>
      <c r="R20" s="5" t="n">
        <v>596525917190</v>
      </c>
      <c r="S20" s="5" t="n">
        <v>1342032374780</v>
      </c>
      <c r="T20" s="5" t="n">
        <v>665992946135</v>
      </c>
      <c r="U20" s="9">
        <f>IF(OR(R20="",S20="",T20=""),"",R20+S20-T20)</f>
        <v/>
      </c>
      <c r="V20" t="n">
        <v>1272565345835</v>
      </c>
      <c r="W20">
        <f>IF(AND(U20="",V20=""),"",IF(OR(U20="",V20=""),"불일치",IF(ABS(U20-V20)&lt;=MAX(1,ABS(V20))*1E-9,"일치","불일치")))</f>
        <v/>
      </c>
      <c r="X20" s="5" t="n">
        <v>59064567570</v>
      </c>
      <c r="Y20" s="5" t="n">
        <v>107852858090</v>
      </c>
      <c r="Z20" s="5" t="n">
        <v>53815087074</v>
      </c>
      <c r="AA20" s="9">
        <f>IF(OR(X20="",Y20="",Z20=""),"",X20+Y20-Z20)</f>
        <v/>
      </c>
      <c r="AB20" t="n">
        <v>113102338586</v>
      </c>
      <c r="AC20">
        <f>IF(AND(AA20="",AB20=""),"",IF(OR(AA20="",AB20=""),"불일치",IF(ABS(AA20-AB20)&lt;=MAX(1,ABS(AB20))*1E-9,"일치","불일치")))</f>
        <v/>
      </c>
      <c r="AD20" s="5" t="n">
        <v>32190615843</v>
      </c>
      <c r="AE20" s="5" t="n">
        <v>52749511611</v>
      </c>
      <c r="AF20" s="5" t="n">
        <v>26515441473</v>
      </c>
      <c r="AG20" s="9">
        <f>IF(OR(AD20="",AE20="",AF20=""),"",AD20+AE20-AF20)</f>
        <v/>
      </c>
      <c r="AH20" t="n">
        <v>58424685981</v>
      </c>
      <c r="AI20">
        <f>IF(AND(AG20="",AH20=""),"",IF(OR(AG20="",AH20=""),"불일치",IF(ABS(AG20-AH20)&lt;=MAX(1,ABS(AH20))*1E-9,"일치","불일치")))</f>
        <v/>
      </c>
      <c r="AJ20" s="5" t="n">
        <v>-52158065895</v>
      </c>
      <c r="AK20" s="5" t="n">
        <v>-89784974912</v>
      </c>
      <c r="AL20" s="5" t="n">
        <v>-100769029395</v>
      </c>
      <c r="AM20" s="9">
        <f>IF(OR(AJ20="",AK20="",AL20=""),"",AJ20+AK20-AL20)</f>
        <v/>
      </c>
      <c r="AN20" t="n">
        <v>-41174011412</v>
      </c>
      <c r="AO20">
        <f>IF(AND(AM20="",AN20=""),"",IF(OR(AM20="",AN20=""),"불일치",IF(ABS(AM20-AN20)&lt;=MAX(1,ABS(AN20))*1E-9,"일치","불일치")))</f>
        <v/>
      </c>
      <c r="AP20" s="5" t="n">
        <v>362366317283</v>
      </c>
      <c r="AQ20" s="5" t="n">
        <v>426004692851</v>
      </c>
      <c r="AR20" s="5" t="n">
        <v>1407804535265</v>
      </c>
      <c r="AS20" s="5" t="n">
        <v>1315063409627</v>
      </c>
      <c r="AT20" s="5" t="n">
        <v>648627714602</v>
      </c>
      <c r="AU20" s="5" t="n">
        <v>548275378392</v>
      </c>
      <c r="AV20" s="5" t="n">
        <v>32144719843</v>
      </c>
      <c r="AW20" s="5" t="n">
        <v>78113820317</v>
      </c>
      <c r="AX20" s="5" t="n">
        <v>9504115000</v>
      </c>
      <c r="AY20" s="5" t="n">
        <v>3032074000</v>
      </c>
      <c r="AZ20" s="9">
        <f>IFERROR(I20/E20,"")</f>
        <v/>
      </c>
      <c r="BA20" t="n">
        <v>-0.8782580288089116</v>
      </c>
      <c r="BB20">
        <f>IF(AND(AZ20="",BA20=""),"",IF(OR(AZ20="",BA20=""),"불일치",IF(ABS(AZ20-BA20)&lt;=MAX(1,ABS(BA20))*1E-9,"일치","불일치")))</f>
        <v/>
      </c>
      <c r="BC20" s="9">
        <f>IFERROR(IF(AP20&lt;=0,"",AP20/E20),"")</f>
        <v/>
      </c>
      <c r="BD20" t="n">
        <v>6.890910033157136</v>
      </c>
      <c r="BE20">
        <f>IF(AND(BC20="",BD20=""),"",IF(OR(BC20="",BD20=""),"불일치",IF(ABS(BC20-BD20)&lt;=MAX(1,ABS(BD20))*1E-9,"일치","불일치")))</f>
        <v/>
      </c>
      <c r="BF20" s="9">
        <f>IFERROR(IF(OR(AP20&lt;=0,AQ20&lt;=0),"",I20/((AP20+AQ20)/2)),"")</f>
        <v/>
      </c>
      <c r="BG20" t="n">
        <v>-0.1171636035707351</v>
      </c>
      <c r="BH20">
        <f>IF(AND(BF20="",BG20=""),"",IF(OR(BF20="",BG20=""),"불일치",IF(ABS(BF20-BG20)&lt;=MAX(1,ABS(BG20))*1E-9,"일치","불일치")))</f>
        <v/>
      </c>
      <c r="BI20" s="9">
        <f>IFERROR(AA20/((AR20+AS20)/2),"")</f>
        <v/>
      </c>
      <c r="BJ20" t="n">
        <v>0.0830758897420463</v>
      </c>
      <c r="BK20">
        <f>IF(AND(BI20="",BJ20=""),"",IF(OR(BI20="",BJ20=""),"불일치",IF(ABS(BI20-BJ20)&lt;=MAX(1,ABS(BJ20))*1E-9,"일치","불일치")))</f>
        <v/>
      </c>
      <c r="BL20" s="9">
        <f>IFERROR(E20+AT20-AV20-AX20,"")</f>
        <v/>
      </c>
      <c r="BM20" t="n">
        <v>659565013599</v>
      </c>
      <c r="BN20">
        <f>IF(AND(BL20="",BM20=""),"",IF(OR(BL20="",BM20=""),"불일치",IF(ABS(BL20-BM20)&lt;=MAX(1,ABS(BM20))*1E-9,"일치","불일치")))</f>
        <v/>
      </c>
      <c r="BO20" s="9">
        <f>IFERROR(IF(OR(BL20&lt;=0,BL20&lt;0.1*E20),"",AG20/BL20),"")</f>
        <v/>
      </c>
      <c r="BP20" t="n">
        <v>0.08858063235070385</v>
      </c>
      <c r="BQ20">
        <f>IF(AND(BO20="",BP20=""),"",IF(OR(BO20="",BP20=""),"불일치",IF(ABS(BO20-BP20)&lt;=MAX(1,ABS(BP20))*1E-9,"일치","불일치")))</f>
        <v/>
      </c>
      <c r="BR20" s="9">
        <f>IFERROR(IF(O20&lt;=0,"",AM20/O20),"")</f>
        <v/>
      </c>
      <c r="BT20">
        <f>IF(AND(BR20="",BS20=""),"",IF(OR(BR20="",BS20=""),"불일치",IF(ABS(BR20-BS20)&lt;=MAX(1,ABS(BS20))*1E-9,"일치","불일치")))</f>
        <v/>
      </c>
    </row>
    <row r="21">
      <c r="A21" t="inlineStr">
        <is>
          <t>이노뎁</t>
        </is>
      </c>
      <c r="B21" t="inlineStr">
        <is>
          <t>303530</t>
        </is>
      </c>
      <c r="C21" t="inlineStr">
        <is>
          <t>2026Q2</t>
        </is>
      </c>
      <c r="D21" t="inlineStr">
        <is>
          <t>CFS</t>
        </is>
      </c>
      <c r="E21" t="n">
        <v>21834414525</v>
      </c>
      <c r="F21" s="5" t="n">
        <v>-3443498622</v>
      </c>
      <c r="G21" s="5" t="n">
        <v>-3016864876</v>
      </c>
      <c r="H21" s="5" t="n">
        <v>-3195502420</v>
      </c>
      <c r="I21" s="9">
        <f>IF(OR(F21="",G21="",H21=""),"",F21+G21-H21)</f>
        <v/>
      </c>
      <c r="J21" t="n">
        <v>-3264861078</v>
      </c>
      <c r="K21">
        <f>IF(AND(I21="",J21=""),"",IF(OR(I21="",J21=""),"불일치",IF(ABS(I21-J21)&lt;=MAX(1,ABS(J21))*1E-9,"일치","불일치")))</f>
        <v/>
      </c>
      <c r="L21" s="5" t="n">
        <v>-3443498622</v>
      </c>
      <c r="M21" s="5" t="n">
        <v>-3016864876</v>
      </c>
      <c r="N21" s="5" t="n">
        <v>-3195502420</v>
      </c>
      <c r="O21" s="9">
        <f>IF(OR(L21="",M21="",N21=""),"",L21+M21-N21)</f>
        <v/>
      </c>
      <c r="P21" t="n">
        <v>-3264861078</v>
      </c>
      <c r="Q21">
        <f>IF(AND(O21="",P21=""),"",IF(OR(O21="",P21=""),"불일치",IF(ABS(O21-P21)&lt;=MAX(1,ABS(P21))*1E-9,"일치","불일치")))</f>
        <v/>
      </c>
      <c r="R21" s="5" t="n">
        <v>27705236543</v>
      </c>
      <c r="S21" s="5" t="n">
        <v>70744057088</v>
      </c>
      <c r="T21" s="5" t="n">
        <v>29042658789</v>
      </c>
      <c r="U21" s="9">
        <f>IF(OR(R21="",S21="",T21=""),"",R21+S21-T21)</f>
        <v/>
      </c>
      <c r="V21" t="n">
        <v>69406634842</v>
      </c>
      <c r="W21">
        <f>IF(AND(U21="",V21=""),"",IF(OR(U21="",V21=""),"불일치",IF(ABS(U21-V21)&lt;=MAX(1,ABS(V21))*1E-9,"일치","불일치")))</f>
        <v/>
      </c>
      <c r="X21" s="5" t="n">
        <v>10796717907</v>
      </c>
      <c r="Y21" s="5" t="n">
        <v>28178148564</v>
      </c>
      <c r="Z21" s="5" t="n">
        <v>12340485206</v>
      </c>
      <c r="AA21" s="9">
        <f>IF(OR(X21="",Y21="",Z21=""),"",X21+Y21-Z21)</f>
        <v/>
      </c>
      <c r="AB21" t="n">
        <v>26634381265</v>
      </c>
      <c r="AC21">
        <f>IF(AND(AA21="",AB21=""),"",IF(OR(AA21="",AB21=""),"불일치",IF(ABS(AA21-AB21)&lt;=MAX(1,ABS(AB21))*1E-9,"일치","불일치")))</f>
        <v/>
      </c>
      <c r="AD21" s="5" t="n">
        <v>-4250136924</v>
      </c>
      <c r="AE21" s="5" t="n">
        <v>-2896673174</v>
      </c>
      <c r="AF21" s="5" t="n">
        <v>-3275943585</v>
      </c>
      <c r="AG21" s="9">
        <f>IF(OR(AD21="",AE21="",AF21=""),"",AD21+AE21-AF21)</f>
        <v/>
      </c>
      <c r="AH21" t="n">
        <v>-3870866513</v>
      </c>
      <c r="AI21">
        <f>IF(AND(AG21="",AH21=""),"",IF(OR(AG21="",AH21=""),"불일치",IF(ABS(AG21-AH21)&lt;=MAX(1,ABS(AH21))*1E-9,"일치","불일치")))</f>
        <v/>
      </c>
      <c r="AJ21" s="5" t="n">
        <v>-1775347795</v>
      </c>
      <c r="AK21" s="5" t="n">
        <v>-4331276242</v>
      </c>
      <c r="AL21" s="5" t="n">
        <v>-4021551047</v>
      </c>
      <c r="AM21" s="9">
        <f>IF(OR(AJ21="",AK21="",AL21=""),"",AJ21+AK21-AL21)</f>
        <v/>
      </c>
      <c r="AN21" t="n">
        <v>-2085072990</v>
      </c>
      <c r="AO21">
        <f>IF(AND(AM21="",AN21=""),"",IF(OR(AM21="",AN21=""),"불일치",IF(ABS(AM21-AN21)&lt;=MAX(1,ABS(AN21))*1E-9,"일치","불일치")))</f>
        <v/>
      </c>
      <c r="AP21" s="5" t="n">
        <v>31130743634</v>
      </c>
      <c r="AQ21" s="5" t="n">
        <v>34063990681</v>
      </c>
      <c r="AR21" s="5" t="n">
        <v>73306183597</v>
      </c>
      <c r="AS21" s="5" t="n">
        <v>77086244181</v>
      </c>
      <c r="AT21" s="5" t="n">
        <v>20847824679</v>
      </c>
      <c r="AU21" s="5" t="n">
        <v>21492336508</v>
      </c>
      <c r="AV21" s="5" t="n">
        <v>13718005981</v>
      </c>
      <c r="AW21" s="5" t="n">
        <v>16851760850</v>
      </c>
      <c r="AX21" s="5" t="n">
        <v>0</v>
      </c>
      <c r="AY21" s="5" t="n">
        <v>0</v>
      </c>
      <c r="AZ21" s="9">
        <f>IFERROR(I21/E21,"")</f>
        <v/>
      </c>
      <c r="BA21" t="n">
        <v>-0.1495282172215699</v>
      </c>
      <c r="BB21">
        <f>IF(AND(AZ21="",BA21=""),"",IF(OR(AZ21="",BA21=""),"불일치",IF(ABS(AZ21-BA21)&lt;=MAX(1,ABS(BA21))*1E-9,"일치","불일치")))</f>
        <v/>
      </c>
      <c r="BC21" s="9">
        <f>IFERROR(IF(AP21&lt;=0,"",AP21/E21),"")</f>
        <v/>
      </c>
      <c r="BD21" t="n">
        <v>1.425764982081653</v>
      </c>
      <c r="BE21">
        <f>IF(AND(BC21="",BD21=""),"",IF(OR(BC21="",BD21=""),"불일치",IF(ABS(BC21-BD21)&lt;=MAX(1,ABS(BD21))*1E-9,"일치","불일치")))</f>
        <v/>
      </c>
      <c r="BF21" s="9">
        <f>IFERROR(IF(OR(AP21&lt;=0,AQ21&lt;=0),"",I21/((AP21+AQ21)/2)),"")</f>
        <v/>
      </c>
      <c r="BG21" t="n">
        <v>-0.1001572017220054</v>
      </c>
      <c r="BH21">
        <f>IF(AND(BF21="",BG21=""),"",IF(OR(BF21="",BG21=""),"불일치",IF(ABS(BF21-BG21)&lt;=MAX(1,ABS(BG21))*1E-9,"일치","불일치")))</f>
        <v/>
      </c>
      <c r="BI21" s="9">
        <f>IFERROR(AA21/((AR21+AS21)/2),"")</f>
        <v/>
      </c>
      <c r="BJ21" t="n">
        <v>0.3541984348349775</v>
      </c>
      <c r="BK21">
        <f>IF(AND(BI21="",BJ21=""),"",IF(OR(BI21="",BJ21=""),"불일치",IF(ABS(BI21-BJ21)&lt;=MAX(1,ABS(BJ21))*1E-9,"일치","불일치")))</f>
        <v/>
      </c>
      <c r="BL21" s="9">
        <f>IFERROR(E21+AT21-AV21-AX21,"")</f>
        <v/>
      </c>
      <c r="BM21" t="n">
        <v>28964233223</v>
      </c>
      <c r="BN21">
        <f>IF(AND(BL21="",BM21=""),"",IF(OR(BL21="",BM21=""),"불일치",IF(ABS(BL21-BM21)&lt;=MAX(1,ABS(BM21))*1E-9,"일치","불일치")))</f>
        <v/>
      </c>
      <c r="BO21" s="9">
        <f>IFERROR(IF(OR(BL21&lt;=0,BL21&lt;0.1*E21),"",AG21/BL21),"")</f>
        <v/>
      </c>
      <c r="BP21" t="n">
        <v>-0.133642982474199</v>
      </c>
      <c r="BQ21">
        <f>IF(AND(BO21="",BP21=""),"",IF(OR(BO21="",BP21=""),"불일치",IF(ABS(BO21-BP21)&lt;=MAX(1,ABS(BP21))*1E-9,"일치","불일치")))</f>
        <v/>
      </c>
      <c r="BR21" s="9">
        <f>IFERROR(IF(O21&lt;=0,"",AM21/O21),"")</f>
        <v/>
      </c>
      <c r="BT21">
        <f>IF(AND(BR21="",BS21=""),"",IF(OR(BR21="",BS21=""),"불일치",IF(ABS(BR21-BS21)&lt;=MAX(1,ABS(BS21))*1E-9,"일치","불일치")))</f>
        <v/>
      </c>
    </row>
    <row r="22">
      <c r="A22" t="inlineStr">
        <is>
          <t>아모센스</t>
        </is>
      </c>
      <c r="B22" t="inlineStr">
        <is>
          <t>357580</t>
        </is>
      </c>
      <c r="C22" t="inlineStr">
        <is>
          <t>2026Q2</t>
        </is>
      </c>
      <c r="D22" t="inlineStr">
        <is>
          <t>CFS</t>
        </is>
      </c>
      <c r="E22" t="n">
        <v>67791131500</v>
      </c>
      <c r="F22" s="5" t="n">
        <v>-1424637813</v>
      </c>
      <c r="G22" s="5" t="n">
        <v>497100618</v>
      </c>
      <c r="H22" s="5" t="n">
        <v>1094158145</v>
      </c>
      <c r="I22" s="9">
        <f>IF(OR(F22="",G22="",H22=""),"",F22+G22-H22)</f>
        <v/>
      </c>
      <c r="J22" t="n">
        <v>-2021695340</v>
      </c>
      <c r="K22">
        <f>IF(AND(I22="",J22=""),"",IF(OR(I22="",J22=""),"불일치",IF(ABS(I22-J22)&lt;=MAX(1,ABS(J22))*1E-9,"일치","불일치")))</f>
        <v/>
      </c>
      <c r="L22" s="5" t="n">
        <v>-1424637813</v>
      </c>
      <c r="M22" s="5" t="n">
        <v>497100618</v>
      </c>
      <c r="N22" s="5" t="n">
        <v>1094158145</v>
      </c>
      <c r="O22" s="9">
        <f>IF(OR(L22="",M22="",N22=""),"",L22+M22-N22)</f>
        <v/>
      </c>
      <c r="P22" t="n">
        <v>-2021695340</v>
      </c>
      <c r="Q22">
        <f>IF(AND(O22="",P22=""),"",IF(OR(O22="",P22=""),"불일치",IF(ABS(O22-P22)&lt;=MAX(1,ABS(P22))*1E-9,"일치","불일치")))</f>
        <v/>
      </c>
      <c r="R22" s="5" t="n">
        <v>55003233082</v>
      </c>
      <c r="S22" s="5" t="n">
        <v>122140313384</v>
      </c>
      <c r="T22" s="5" t="n">
        <v>60210779073</v>
      </c>
      <c r="U22" s="9">
        <f>IF(OR(R22="",S22="",T22=""),"",R22+S22-T22)</f>
        <v/>
      </c>
      <c r="V22" t="n">
        <v>116932767393</v>
      </c>
      <c r="W22">
        <f>IF(AND(U22="",V22=""),"",IF(OR(U22="",V22=""),"불일치",IF(ABS(U22-V22)&lt;=MAX(1,ABS(V22))*1E-9,"일치","불일치")))</f>
        <v/>
      </c>
      <c r="X22" s="5" t="n">
        <v>12398363051</v>
      </c>
      <c r="Y22" s="5" t="n">
        <v>29663072385</v>
      </c>
      <c r="Z22" s="5" t="n">
        <v>13796457475</v>
      </c>
      <c r="AA22" s="9">
        <f>IF(OR(X22="",Y22="",Z22=""),"",X22+Y22-Z22)</f>
        <v/>
      </c>
      <c r="AB22" t="n">
        <v>28264977961</v>
      </c>
      <c r="AC22">
        <f>IF(AND(AA22="",AB22=""),"",IF(OR(AA22="",AB22=""),"불일치",IF(ABS(AA22-AB22)&lt;=MAX(1,ABS(AB22))*1E-9,"일치","불일치")))</f>
        <v/>
      </c>
      <c r="AD22" s="5" t="n">
        <v>-887333396</v>
      </c>
      <c r="AE22" s="5" t="n">
        <v>5321549322</v>
      </c>
      <c r="AF22" s="5" t="n">
        <v>2821486335</v>
      </c>
      <c r="AG22" s="9">
        <f>IF(OR(AD22="",AE22="",AF22=""),"",AD22+AE22-AF22)</f>
        <v/>
      </c>
      <c r="AH22" t="n">
        <v>1612729591</v>
      </c>
      <c r="AI22">
        <f>IF(AND(AG22="",AH22=""),"",IF(OR(AG22="",AH22=""),"불일치",IF(ABS(AG22-AH22)&lt;=MAX(1,ABS(AH22))*1E-9,"일치","불일치")))</f>
        <v/>
      </c>
      <c r="AJ22" s="5" t="n">
        <v>6851205039</v>
      </c>
      <c r="AK22" s="5" t="n">
        <v>11384009671</v>
      </c>
      <c r="AL22" s="5" t="n">
        <v>5396929741</v>
      </c>
      <c r="AM22" s="9">
        <f>IF(OR(AJ22="",AK22="",AL22=""),"",AJ22+AK22-AL22)</f>
        <v/>
      </c>
      <c r="AN22" t="n">
        <v>12838284969</v>
      </c>
      <c r="AO22">
        <f>IF(AND(AM22="",AN22=""),"",IF(OR(AM22="",AN22=""),"불일치",IF(ABS(AM22-AN22)&lt;=MAX(1,ABS(AN22))*1E-9,"일치","불일치")))</f>
        <v/>
      </c>
      <c r="AP22" s="5" t="n">
        <v>46292674945</v>
      </c>
      <c r="AQ22" s="5" t="n">
        <v>42502521196</v>
      </c>
      <c r="AR22" s="5" t="n">
        <v>138854748079</v>
      </c>
      <c r="AS22" s="5" t="n">
        <v>146033056367</v>
      </c>
      <c r="AT22" s="5" t="n">
        <v>55799728344</v>
      </c>
      <c r="AU22" s="5" t="n">
        <v>68160200213</v>
      </c>
      <c r="AV22" s="5" t="n">
        <v>23180951456</v>
      </c>
      <c r="AW22" s="5" t="n">
        <v>19847839079</v>
      </c>
      <c r="AX22" s="5" t="n">
        <v>0</v>
      </c>
      <c r="AY22" s="5" t="n">
        <v>0</v>
      </c>
      <c r="AZ22" s="9">
        <f>IFERROR(I22/E22,"")</f>
        <v/>
      </c>
      <c r="BA22" t="n">
        <v>-0.0298224162256386</v>
      </c>
      <c r="BB22">
        <f>IF(AND(AZ22="",BA22=""),"",IF(OR(AZ22="",BA22=""),"불일치",IF(ABS(AZ22-BA22)&lt;=MAX(1,ABS(BA22))*1E-9,"일치","불일치")))</f>
        <v/>
      </c>
      <c r="BC22" s="9">
        <f>IFERROR(IF(AP22&lt;=0,"",AP22/E22),"")</f>
        <v/>
      </c>
      <c r="BD22" t="n">
        <v>0.6828721385923467</v>
      </c>
      <c r="BE22">
        <f>IF(AND(BC22="",BD22=""),"",IF(OR(BC22="",BD22=""),"불일치",IF(ABS(BC22-BD22)&lt;=MAX(1,ABS(BD22))*1E-9,"일치","불일치")))</f>
        <v/>
      </c>
      <c r="BF22" s="9">
        <f>IFERROR(IF(OR(AP22&lt;=0,AQ22&lt;=0),"",I22/((AP22+AQ22)/2)),"")</f>
        <v/>
      </c>
      <c r="BG22" t="n">
        <v>-0.04553614222079541</v>
      </c>
      <c r="BH22">
        <f>IF(AND(BF22="",BG22=""),"",IF(OR(BF22="",BG22=""),"불일치",IF(ABS(BF22-BG22)&lt;=MAX(1,ABS(BG22))*1E-9,"일치","불일치")))</f>
        <v/>
      </c>
      <c r="BI22" s="9">
        <f>IFERROR(AA22/((AR22+AS22)/2),"")</f>
        <v/>
      </c>
      <c r="BJ22" t="n">
        <v>0.1984288377381741</v>
      </c>
      <c r="BK22">
        <f>IF(AND(BI22="",BJ22=""),"",IF(OR(BI22="",BJ22=""),"불일치",IF(ABS(BI22-BJ22)&lt;=MAX(1,ABS(BJ22))*1E-9,"일치","불일치")))</f>
        <v/>
      </c>
      <c r="BL22" s="9">
        <f>IFERROR(E22+AT22-AV22-AX22,"")</f>
        <v/>
      </c>
      <c r="BM22" t="n">
        <v>100409908388</v>
      </c>
      <c r="BN22">
        <f>IF(AND(BL22="",BM22=""),"",IF(OR(BL22="",BM22=""),"불일치",IF(ABS(BL22-BM22)&lt;=MAX(1,ABS(BM22))*1E-9,"일치","불일치")))</f>
        <v/>
      </c>
      <c r="BO22" s="9">
        <f>IFERROR(IF(OR(BL22&lt;=0,BL22&lt;0.1*E22),"",AG22/BL22),"")</f>
        <v/>
      </c>
      <c r="BP22" t="n">
        <v>0.01606145864378398</v>
      </c>
      <c r="BQ22">
        <f>IF(AND(BO22="",BP22=""),"",IF(OR(BO22="",BP22=""),"불일치",IF(ABS(BO22-BP22)&lt;=MAX(1,ABS(BP22))*1E-9,"일치","불일치")))</f>
        <v/>
      </c>
      <c r="BR22" s="9">
        <f>IFERROR(IF(O22&lt;=0,"",AM22/O22),"")</f>
        <v/>
      </c>
      <c r="BT22">
        <f>IF(AND(BR22="",BS22=""),"",IF(OR(BR22="",BS22=""),"불일치",IF(ABS(BR22-BS22)&lt;=MAX(1,ABS(BS22))*1E-9,"일치","불일치")))</f>
        <v/>
      </c>
    </row>
    <row r="23">
      <c r="A23" t="inlineStr">
        <is>
          <t>삼화네트웍스</t>
        </is>
      </c>
      <c r="B23" t="inlineStr">
        <is>
          <t>046390</t>
        </is>
      </c>
      <c r="C23" t="inlineStr">
        <is>
          <t>2026Q2</t>
        </is>
      </c>
      <c r="D23" t="inlineStr">
        <is>
          <t>CFS</t>
        </is>
      </c>
      <c r="E23" t="n">
        <v>31429894860</v>
      </c>
      <c r="F23" s="5" t="n">
        <v>-2497579973</v>
      </c>
      <c r="G23" s="5" t="n">
        <v>-872120915</v>
      </c>
      <c r="H23" s="5" t="n">
        <v>-2422887188</v>
      </c>
      <c r="I23" s="9">
        <f>IF(OR(F23="",G23="",H23=""),"",F23+G23-H23)</f>
        <v/>
      </c>
      <c r="J23" t="n">
        <v>-946813700</v>
      </c>
      <c r="K23">
        <f>IF(AND(I23="",J23=""),"",IF(OR(I23="",J23=""),"불일치",IF(ABS(I23-J23)&lt;=MAX(1,ABS(J23))*1E-9,"일치","불일치")))</f>
        <v/>
      </c>
      <c r="L23" s="5" t="n">
        <v>-2497583331</v>
      </c>
      <c r="M23" s="5" t="n">
        <v>-872142430</v>
      </c>
      <c r="N23" s="5" t="n">
        <v>-2422895804</v>
      </c>
      <c r="O23" s="9">
        <f>IF(OR(L23="",M23="",N23=""),"",L23+M23-N23)</f>
        <v/>
      </c>
      <c r="P23" t="n">
        <v>-946829957</v>
      </c>
      <c r="Q23">
        <f>IF(AND(O23="",P23=""),"",IF(OR(O23="",P23=""),"불일치",IF(ABS(O23-P23)&lt;=MAX(1,ABS(P23))*1E-9,"일치","불일치")))</f>
        <v/>
      </c>
      <c r="R23" s="5" t="n">
        <v>744534997</v>
      </c>
      <c r="S23" s="5" t="n">
        <v>37266321862</v>
      </c>
      <c r="T23" s="5" t="n">
        <v>1276511480</v>
      </c>
      <c r="U23" s="9">
        <f>IF(OR(R23="",S23="",T23=""),"",R23+S23-T23)</f>
        <v/>
      </c>
      <c r="V23" t="n">
        <v>36734345379</v>
      </c>
      <c r="W23">
        <f>IF(AND(U23="",V23=""),"",IF(OR(U23="",V23=""),"불일치",IF(ABS(U23-V23)&lt;=MAX(1,ABS(V23))*1E-9,"일치","불일치")))</f>
        <v/>
      </c>
      <c r="X23" s="5" t="n">
        <v>-1652959861</v>
      </c>
      <c r="Y23" s="5" t="n">
        <v>2421253850</v>
      </c>
      <c r="Z23" s="5" t="n">
        <v>-1068201584</v>
      </c>
      <c r="AA23" s="9">
        <f>IF(OR(X23="",Y23="",Z23=""),"",X23+Y23-Z23)</f>
        <v/>
      </c>
      <c r="AB23" t="n">
        <v>1836495573</v>
      </c>
      <c r="AC23">
        <f>IF(AND(AA23="",AB23=""),"",IF(OR(AA23="",AB23=""),"불일치",IF(ABS(AA23-AB23)&lt;=MAX(1,ABS(AB23))*1E-9,"일치","불일치")))</f>
        <v/>
      </c>
      <c r="AD23" s="5" t="n">
        <v>-2731978875</v>
      </c>
      <c r="AE23" s="5" t="n">
        <v>-1547996543</v>
      </c>
      <c r="AF23" s="5" t="n">
        <v>-2678255694</v>
      </c>
      <c r="AG23" s="9">
        <f>IF(OR(AD23="",AE23="",AF23=""),"",AD23+AE23-AF23)</f>
        <v/>
      </c>
      <c r="AH23" t="n">
        <v>-1601719724</v>
      </c>
      <c r="AI23">
        <f>IF(AND(AG23="",AH23=""),"",IF(OR(AG23="",AH23=""),"불일치",IF(ABS(AG23-AH23)&lt;=MAX(1,ABS(AH23))*1E-9,"일치","불일치")))</f>
        <v/>
      </c>
      <c r="AJ23" s="5" t="n">
        <v>459594058</v>
      </c>
      <c r="AK23" s="5" t="n">
        <v>-1185746283</v>
      </c>
      <c r="AL23" s="5" t="n">
        <v>-2927028955</v>
      </c>
      <c r="AM23" s="9">
        <f>IF(OR(AJ23="",AK23="",AL23=""),"",AJ23+AK23-AL23)</f>
        <v/>
      </c>
      <c r="AN23" t="n">
        <v>2200876730</v>
      </c>
      <c r="AO23">
        <f>IF(AND(AM23="",AN23=""),"",IF(OR(AM23="",AN23=""),"불일치",IF(ABS(AM23-AN23)&lt;=MAX(1,ABS(AN23))*1E-9,"일치","불일치")))</f>
        <v/>
      </c>
      <c r="AP23" s="5" t="n">
        <v>55388608224</v>
      </c>
      <c r="AQ23" s="5" t="n">
        <v>56951007815</v>
      </c>
      <c r="AR23" s="5" t="n">
        <v>73741167265</v>
      </c>
      <c r="AS23" s="5" t="n">
        <v>82049594443</v>
      </c>
      <c r="AT23" s="5" t="n">
        <v>670998290</v>
      </c>
      <c r="AU23" s="5" t="n">
        <v>928161694</v>
      </c>
      <c r="AV23" s="5" t="n">
        <v>2260458709</v>
      </c>
      <c r="AW23" s="5" t="n">
        <v>1260966546</v>
      </c>
      <c r="AX23" s="5" t="n">
        <v>0</v>
      </c>
      <c r="AY23" s="5" t="n">
        <v>0</v>
      </c>
      <c r="AZ23" s="9">
        <f>IFERROR(I23/E23,"")</f>
        <v/>
      </c>
      <c r="BA23" t="n">
        <v>-0.03012462193136334</v>
      </c>
      <c r="BB23">
        <f>IF(AND(AZ23="",BA23=""),"",IF(OR(AZ23="",BA23=""),"불일치",IF(ABS(AZ23-BA23)&lt;=MAX(1,ABS(BA23))*1E-9,"일치","불일치")))</f>
        <v/>
      </c>
      <c r="BC23" s="9">
        <f>IFERROR(IF(AP23&lt;=0,"",AP23/E23),"")</f>
        <v/>
      </c>
      <c r="BD23" t="n">
        <v>1.762290598512044</v>
      </c>
      <c r="BE23">
        <f>IF(AND(BC23="",BD23=""),"",IF(OR(BC23="",BD23=""),"불일치",IF(ABS(BC23-BD23)&lt;=MAX(1,ABS(BD23))*1E-9,"일치","불일치")))</f>
        <v/>
      </c>
      <c r="BF23" s="9">
        <f>IFERROR(IF(OR(AP23&lt;=0,AQ23&lt;=0),"",I23/((AP23+AQ23)/2)),"")</f>
        <v/>
      </c>
      <c r="BG23" t="n">
        <v>-0.01685627445390774</v>
      </c>
      <c r="BH23">
        <f>IF(AND(BF23="",BG23=""),"",IF(OR(BF23="",BG23=""),"불일치",IF(ABS(BF23-BG23)&lt;=MAX(1,ABS(BG23))*1E-9,"일치","불일치")))</f>
        <v/>
      </c>
      <c r="BI23" s="9">
        <f>IFERROR(AA23/((AR23+AS23)/2),"")</f>
        <v/>
      </c>
      <c r="BJ23" t="n">
        <v>0.02357643743269142</v>
      </c>
      <c r="BK23">
        <f>IF(AND(BI23="",BJ23=""),"",IF(OR(BI23="",BJ23=""),"불일치",IF(ABS(BI23-BJ23)&lt;=MAX(1,ABS(BJ23))*1E-9,"일치","불일치")))</f>
        <v/>
      </c>
      <c r="BL23" s="9">
        <f>IFERROR(E23+AT23-AV23-AX23,"")</f>
        <v/>
      </c>
      <c r="BM23" t="n">
        <v>29840434441</v>
      </c>
      <c r="BN23">
        <f>IF(AND(BL23="",BM23=""),"",IF(OR(BL23="",BM23=""),"불일치",IF(ABS(BL23-BM23)&lt;=MAX(1,ABS(BM23))*1E-9,"일치","불일치")))</f>
        <v/>
      </c>
      <c r="BO23" s="9">
        <f>IFERROR(IF(OR(BL23&lt;=0,BL23&lt;0.1*E23),"",AG23/BL23),"")</f>
        <v/>
      </c>
      <c r="BP23" t="n">
        <v>-0.05367615297849946</v>
      </c>
      <c r="BQ23">
        <f>IF(AND(BO23="",BP23=""),"",IF(OR(BO23="",BP23=""),"불일치",IF(ABS(BO23-BP23)&lt;=MAX(1,ABS(BP23))*1E-9,"일치","불일치")))</f>
        <v/>
      </c>
      <c r="BR23" s="9">
        <f>IFERROR(IF(O23&lt;=0,"",AM23/O23),"")</f>
        <v/>
      </c>
      <c r="BT23">
        <f>IF(AND(BR23="",BS23=""),"",IF(OR(BR23="",BS23=""),"불일치",IF(ABS(BR23-BS23)&lt;=MAX(1,ABS(BS23))*1E-9,"일치","불일치")))</f>
        <v/>
      </c>
    </row>
    <row r="24">
      <c r="A24" t="inlineStr">
        <is>
          <t>에코프로에이치엔</t>
        </is>
      </c>
      <c r="B24" t="inlineStr">
        <is>
          <t>383310</t>
        </is>
      </c>
      <c r="C24" t="inlineStr">
        <is>
          <t>2026Q2</t>
        </is>
      </c>
      <c r="D24" t="inlineStr">
        <is>
          <t>CFS</t>
        </is>
      </c>
      <c r="E24" t="n">
        <v>495008395200</v>
      </c>
      <c r="F24" s="5" t="n">
        <v>9593627586</v>
      </c>
      <c r="G24" s="5" t="n">
        <v>13220969592</v>
      </c>
      <c r="H24" s="5" t="n">
        <v>7079475999</v>
      </c>
      <c r="I24" s="9">
        <f>IF(OR(F24="",G24="",H24=""),"",F24+G24-H24)</f>
        <v/>
      </c>
      <c r="J24" t="n">
        <v>15735121179</v>
      </c>
      <c r="K24">
        <f>IF(AND(I24="",J24=""),"",IF(OR(I24="",J24=""),"불일치",IF(ABS(I24-J24)&lt;=MAX(1,ABS(J24))*1E-9,"일치","불일치")))</f>
        <v/>
      </c>
      <c r="L24" s="5" t="n">
        <v>9593627586</v>
      </c>
      <c r="M24" s="5" t="n">
        <v>13220969592</v>
      </c>
      <c r="N24" s="5" t="n">
        <v>7079475999</v>
      </c>
      <c r="O24" s="9">
        <f>IF(OR(L24="",M24="",N24=""),"",L24+M24-N24)</f>
        <v/>
      </c>
      <c r="P24" t="n">
        <v>15735121179</v>
      </c>
      <c r="Q24">
        <f>IF(AND(O24="",P24=""),"",IF(OR(O24="",P24=""),"불일치",IF(ABS(O24-P24)&lt;=MAX(1,ABS(P24))*1E-9,"일치","불일치")))</f>
        <v/>
      </c>
      <c r="R24" s="5" t="n">
        <v>86194788513</v>
      </c>
      <c r="S24" s="5" t="n">
        <v>141057118027</v>
      </c>
      <c r="T24" s="5" t="n">
        <v>73435174603</v>
      </c>
      <c r="U24" s="9">
        <f>IF(OR(R24="",S24="",T24=""),"",R24+S24-T24)</f>
        <v/>
      </c>
      <c r="V24" t="n">
        <v>153816731937</v>
      </c>
      <c r="W24">
        <f>IF(AND(U24="",V24=""),"",IF(OR(U24="",V24=""),"불일치",IF(ABS(U24-V24)&lt;=MAX(1,ABS(V24))*1E-9,"일치","불일치")))</f>
        <v/>
      </c>
      <c r="X24" s="5" t="n">
        <v>25894379242</v>
      </c>
      <c r="Y24" s="5" t="n">
        <v>41700633014</v>
      </c>
      <c r="Z24" s="5" t="n">
        <v>22305324388</v>
      </c>
      <c r="AA24" s="9">
        <f>IF(OR(X24="",Y24="",Z24=""),"",X24+Y24-Z24)</f>
        <v/>
      </c>
      <c r="AB24" t="n">
        <v>45289687868</v>
      </c>
      <c r="AC24">
        <f>IF(AND(AA24="",AB24=""),"",IF(OR(AA24="",AB24=""),"불일치",IF(ABS(AA24-AB24)&lt;=MAX(1,ABS(AB24))*1E-9,"일치","불일치")))</f>
        <v/>
      </c>
      <c r="AD24" s="5" t="n">
        <v>10791149966</v>
      </c>
      <c r="AE24" s="5" t="n">
        <v>11709586777</v>
      </c>
      <c r="AF24" s="5" t="n">
        <v>7068099180</v>
      </c>
      <c r="AG24" s="9">
        <f>IF(OR(AD24="",AE24="",AF24=""),"",AD24+AE24-AF24)</f>
        <v/>
      </c>
      <c r="AH24" t="n">
        <v>15432637563</v>
      </c>
      <c r="AI24">
        <f>IF(AND(AG24="",AH24=""),"",IF(OR(AG24="",AH24=""),"불일치",IF(ABS(AG24-AH24)&lt;=MAX(1,ABS(AH24))*1E-9,"일치","불일치")))</f>
        <v/>
      </c>
      <c r="AJ24" s="5" t="n">
        <v>7030564323</v>
      </c>
      <c r="AK24" s="5" t="n">
        <v>-4869001747</v>
      </c>
      <c r="AL24" s="5" t="n">
        <v>-8912371072</v>
      </c>
      <c r="AM24" s="9">
        <f>IF(OR(AJ24="",AK24="",AL24=""),"",AJ24+AK24-AL24)</f>
        <v/>
      </c>
      <c r="AN24" t="n">
        <v>11073933648</v>
      </c>
      <c r="AO24">
        <f>IF(AND(AM24="",AN24=""),"",IF(OR(AM24="",AN24=""),"불일치",IF(ABS(AM24-AN24)&lt;=MAX(1,ABS(AN24))*1E-9,"일치","불일치")))</f>
        <v/>
      </c>
      <c r="AP24" s="5" t="n">
        <v>310226994846</v>
      </c>
      <c r="AQ24" s="5" t="n">
        <v>297413215463</v>
      </c>
      <c r="AR24" s="5" t="n">
        <v>455811819264</v>
      </c>
      <c r="AS24" s="5" t="n">
        <v>437929560652</v>
      </c>
      <c r="AT24" s="5" t="n">
        <v>109639647496</v>
      </c>
      <c r="AU24" s="5" t="n">
        <v>103446764589</v>
      </c>
      <c r="AV24" s="5" t="n">
        <v>17709066196</v>
      </c>
      <c r="AW24" s="5" t="n">
        <v>75637328602</v>
      </c>
      <c r="AX24" s="5" t="n">
        <v>28500000000</v>
      </c>
      <c r="AY24" s="5" t="n">
        <v>23500000000</v>
      </c>
      <c r="AZ24" s="9">
        <f>IFERROR(I24/E24,"")</f>
        <v/>
      </c>
      <c r="BA24" t="n">
        <v>0.03178758447650668</v>
      </c>
      <c r="BB24">
        <f>IF(AND(AZ24="",BA24=""),"",IF(OR(AZ24="",BA24=""),"불일치",IF(ABS(AZ24-BA24)&lt;=MAX(1,ABS(BA24))*1E-9,"일치","불일치")))</f>
        <v/>
      </c>
      <c r="BC24" s="9">
        <f>IFERROR(IF(AP24&lt;=0,"",AP24/E24),"")</f>
        <v/>
      </c>
      <c r="BD24" t="n">
        <v>0.626710572697778</v>
      </c>
      <c r="BE24">
        <f>IF(AND(BC24="",BD24=""),"",IF(OR(BC24="",BD24=""),"불일치",IF(ABS(BC24-BD24)&lt;=MAX(1,ABS(BD24))*1E-9,"일치","불일치")))</f>
        <v/>
      </c>
      <c r="BF24" s="9">
        <f>IFERROR(IF(OR(AP24&lt;=0,AQ24&lt;=0),"",I24/((AP24+AQ24)/2)),"")</f>
        <v/>
      </c>
      <c r="BG24" t="n">
        <v>0.05179091479478721</v>
      </c>
      <c r="BH24">
        <f>IF(AND(BF24="",BG24=""),"",IF(OR(BF24="",BG24=""),"불일치",IF(ABS(BF24-BG24)&lt;=MAX(1,ABS(BG24))*1E-9,"일치","불일치")))</f>
        <v/>
      </c>
      <c r="BI24" s="9">
        <f>IFERROR(AA24/((AR24+AS24)/2),"")</f>
        <v/>
      </c>
      <c r="BJ24" t="n">
        <v>0.1013485307623479</v>
      </c>
      <c r="BK24">
        <f>IF(AND(BI24="",BJ24=""),"",IF(OR(BI24="",BJ24=""),"불일치",IF(ABS(BI24-BJ24)&lt;=MAX(1,ABS(BJ24))*1E-9,"일치","불일치")))</f>
        <v/>
      </c>
      <c r="BL24" s="9">
        <f>IFERROR(E24+AT24-AV24-AX24,"")</f>
        <v/>
      </c>
      <c r="BM24" t="n">
        <v>558438976500</v>
      </c>
      <c r="BN24">
        <f>IF(AND(BL24="",BM24=""),"",IF(OR(BL24="",BM24=""),"불일치",IF(ABS(BL24-BM24)&lt;=MAX(1,ABS(BM24))*1E-9,"일치","불일치")))</f>
        <v/>
      </c>
      <c r="BO24" s="9">
        <f>IFERROR(IF(OR(BL24&lt;=0,BL24&lt;0.1*E24),"",AG24/BL24),"")</f>
        <v/>
      </c>
      <c r="BP24" t="n">
        <v>0.02763531596544999</v>
      </c>
      <c r="BQ24">
        <f>IF(AND(BO24="",BP24=""),"",IF(OR(BO24="",BP24=""),"불일치",IF(ABS(BO24-BP24)&lt;=MAX(1,ABS(BP24))*1E-9,"일치","불일치")))</f>
        <v/>
      </c>
      <c r="BR24" s="9">
        <f>IFERROR(IF(O24&lt;=0,"",AM24/O24),"")</f>
        <v/>
      </c>
      <c r="BS24" t="n">
        <v>0.7037717423351786</v>
      </c>
      <c r="BT24">
        <f>IF(AND(BR24="",BS24=""),"",IF(OR(BR24="",BS24=""),"불일치",IF(ABS(BR24-BS24)&lt;=MAX(1,ABS(BS24))*1E-9,"일치","불일치")))</f>
        <v/>
      </c>
    </row>
    <row r="25">
      <c r="A25" t="inlineStr">
        <is>
          <t>다산네트웍스</t>
        </is>
      </c>
      <c r="B25" t="inlineStr">
        <is>
          <t>039560</t>
        </is>
      </c>
      <c r="C25" t="inlineStr">
        <is>
          <t>2026Q2</t>
        </is>
      </c>
      <c r="D25" t="inlineStr">
        <is>
          <t>CFS</t>
        </is>
      </c>
      <c r="E25" t="n">
        <v>99286803420</v>
      </c>
      <c r="F25" s="5" t="n">
        <v>9185573010</v>
      </c>
      <c r="G25" s="5" t="n">
        <v>-7170811062</v>
      </c>
      <c r="H25" s="5" t="n">
        <v>20885251907</v>
      </c>
      <c r="I25" s="9">
        <f>IF(OR(F25="",G25="",H25=""),"",F25+G25-H25)</f>
        <v/>
      </c>
      <c r="J25" t="n">
        <v>-18870489959</v>
      </c>
      <c r="K25">
        <f>IF(AND(I25="",J25=""),"",IF(OR(I25="",J25=""),"불일치",IF(ABS(I25-J25)&lt;=MAX(1,ABS(J25))*1E-9,"일치","불일치")))</f>
        <v/>
      </c>
      <c r="L25" s="5" t="n">
        <v>17507190969</v>
      </c>
      <c r="M25" s="5" t="n">
        <v>4191427824</v>
      </c>
      <c r="N25" s="5" t="n">
        <v>26828622663</v>
      </c>
      <c r="O25" s="9">
        <f>IF(OR(L25="",M25="",N25=""),"",L25+M25-N25)</f>
        <v/>
      </c>
      <c r="P25" t="n">
        <v>-5130003870</v>
      </c>
      <c r="Q25">
        <f>IF(AND(O25="",P25=""),"",IF(OR(O25="",P25=""),"불일치",IF(ABS(O25-P25)&lt;=MAX(1,ABS(P25))*1E-9,"일치","불일치")))</f>
        <v/>
      </c>
      <c r="R25" s="5" t="n">
        <v>279548186072</v>
      </c>
      <c r="S25" s="5" t="n">
        <v>541777680410</v>
      </c>
      <c r="T25" s="5" t="n">
        <v>249281576296</v>
      </c>
      <c r="U25" s="9">
        <f>IF(OR(R25="",S25="",T25=""),"",R25+S25-T25)</f>
        <v/>
      </c>
      <c r="V25" t="n">
        <v>572044290186</v>
      </c>
      <c r="W25">
        <f>IF(AND(U25="",V25=""),"",IF(OR(U25="",V25=""),"불일치",IF(ABS(U25-V25)&lt;=MAX(1,ABS(V25))*1E-9,"일치","불일치")))</f>
        <v/>
      </c>
      <c r="X25" s="5" t="n">
        <v>89538622477</v>
      </c>
      <c r="Y25" s="5" t="n">
        <v>163365542599</v>
      </c>
      <c r="Z25" s="5" t="n">
        <v>72540951485</v>
      </c>
      <c r="AA25" s="9">
        <f>IF(OR(X25="",Y25="",Z25=""),"",X25+Y25-Z25)</f>
        <v/>
      </c>
      <c r="AB25" t="n">
        <v>180363213591</v>
      </c>
      <c r="AC25">
        <f>IF(AND(AA25="",AB25=""),"",IF(OR(AA25="",AB25=""),"불일치",IF(ABS(AA25-AB25)&lt;=MAX(1,ABS(AB25))*1E-9,"일치","불일치")))</f>
        <v/>
      </c>
      <c r="AD25" s="5" t="n">
        <v>25277829522</v>
      </c>
      <c r="AE25" s="5" t="n">
        <v>38479275179</v>
      </c>
      <c r="AF25" s="5" t="n">
        <v>19890942025</v>
      </c>
      <c r="AG25" s="9">
        <f>IF(OR(AD25="",AE25="",AF25=""),"",AD25+AE25-AF25)</f>
        <v/>
      </c>
      <c r="AH25" t="n">
        <v>43866162676</v>
      </c>
      <c r="AI25">
        <f>IF(AND(AG25="",AH25=""),"",IF(OR(AG25="",AH25=""),"불일치",IF(ABS(AG25-AH25)&lt;=MAX(1,ABS(AH25))*1E-9,"일치","불일치")))</f>
        <v/>
      </c>
      <c r="AJ25" s="5" t="n">
        <v>21494198322</v>
      </c>
      <c r="AK25" s="5" t="n">
        <v>19425348249</v>
      </c>
      <c r="AL25" s="5" t="n">
        <v>-11914451026</v>
      </c>
      <c r="AM25" s="9">
        <f>IF(OR(AJ25="",AK25="",AL25=""),"",AJ25+AK25-AL25)</f>
        <v/>
      </c>
      <c r="AN25" t="n">
        <v>52833997597</v>
      </c>
      <c r="AO25">
        <f>IF(AND(AM25="",AN25=""),"",IF(OR(AM25="",AN25=""),"불일치",IF(ABS(AM25-AN25)&lt;=MAX(1,ABS(AN25))*1E-9,"일치","불일치")))</f>
        <v/>
      </c>
      <c r="AP25" s="5" t="n">
        <v>279143131655</v>
      </c>
      <c r="AQ25" s="5" t="n">
        <v>286440474766</v>
      </c>
      <c r="AR25" s="5" t="n">
        <v>666042045600</v>
      </c>
      <c r="AS25" s="5" t="n">
        <v>649454285040</v>
      </c>
      <c r="AT25" s="5" t="n">
        <v>132656004556</v>
      </c>
      <c r="AU25" s="5" t="n">
        <v>164949624731</v>
      </c>
      <c r="AV25" s="5" t="n">
        <v>57248515571</v>
      </c>
      <c r="AW25" s="5" t="n">
        <v>40138854691</v>
      </c>
      <c r="AX25" s="5" t="n">
        <v>28008536607</v>
      </c>
      <c r="AY25" s="5" t="n">
        <v>13245748458</v>
      </c>
      <c r="AZ25" s="9">
        <f>IFERROR(I25/E25,"")</f>
        <v/>
      </c>
      <c r="BA25" t="n">
        <v>-0.1900604038904811</v>
      </c>
      <c r="BB25">
        <f>IF(AND(AZ25="",BA25=""),"",IF(OR(AZ25="",BA25=""),"불일치",IF(ABS(AZ25-BA25)&lt;=MAX(1,ABS(BA25))*1E-9,"일치","불일치")))</f>
        <v/>
      </c>
      <c r="BC25" s="9">
        <f>IFERROR(IF(AP25&lt;=0,"",AP25/E25),"")</f>
        <v/>
      </c>
      <c r="BD25" t="n">
        <v>2.811482715121538</v>
      </c>
      <c r="BE25">
        <f>IF(AND(BC25="",BD25=""),"",IF(OR(BC25="",BD25=""),"불일치",IF(ABS(BC25-BD25)&lt;=MAX(1,ABS(BD25))*1E-9,"일치","불일치")))</f>
        <v/>
      </c>
      <c r="BF25" s="9">
        <f>IFERROR(IF(OR(AP25&lt;=0,AQ25&lt;=0),"",I25/((AP25+AQ25)/2)),"")</f>
        <v/>
      </c>
      <c r="BG25" t="n">
        <v>-0.06672926776789739</v>
      </c>
      <c r="BH25">
        <f>IF(AND(BF25="",BG25=""),"",IF(OR(BF25="",BG25=""),"불일치",IF(ABS(BF25-BG25)&lt;=MAX(1,ABS(BG25))*1E-9,"일치","불일치")))</f>
        <v/>
      </c>
      <c r="BI25" s="9">
        <f>IFERROR(AA25/((AR25+AS25)/2),"")</f>
        <v/>
      </c>
      <c r="BJ25" t="n">
        <v>0.274213176259111</v>
      </c>
      <c r="BK25">
        <f>IF(AND(BI25="",BJ25=""),"",IF(OR(BI25="",BJ25=""),"불일치",IF(ABS(BI25-BJ25)&lt;=MAX(1,ABS(BJ25))*1E-9,"일치","불일치")))</f>
        <v/>
      </c>
      <c r="BL25" s="9">
        <f>IFERROR(E25+AT25-AV25-AX25,"")</f>
        <v/>
      </c>
      <c r="BM25" t="n">
        <v>146685755798</v>
      </c>
      <c r="BN25">
        <f>IF(AND(BL25="",BM25=""),"",IF(OR(BL25="",BM25=""),"불일치",IF(ABS(BL25-BM25)&lt;=MAX(1,ABS(BM25))*1E-9,"일치","불일치")))</f>
        <v/>
      </c>
      <c r="BO25" s="9">
        <f>IFERROR(IF(OR(BL25&lt;=0,BL25&lt;0.1*E25),"",AG25/BL25),"")</f>
        <v/>
      </c>
      <c r="BP25" t="n">
        <v>0.2990485506745986</v>
      </c>
      <c r="BQ25">
        <f>IF(AND(BO25="",BP25=""),"",IF(OR(BO25="",BP25=""),"불일치",IF(ABS(BO25-BP25)&lt;=MAX(1,ABS(BP25))*1E-9,"일치","불일치")))</f>
        <v/>
      </c>
      <c r="BR25" s="9">
        <f>IFERROR(IF(O25&lt;=0,"",AM25/O25),"")</f>
        <v/>
      </c>
      <c r="BT25">
        <f>IF(AND(BR25="",BS25=""),"",IF(OR(BR25="",BS25=""),"불일치",IF(ABS(BR25-BS25)&lt;=MAX(1,ABS(BS25))*1E-9,"일치","불일치")))</f>
        <v/>
      </c>
    </row>
    <row r="26">
      <c r="A26" t="inlineStr">
        <is>
          <t>인바이오</t>
        </is>
      </c>
      <c r="B26" t="inlineStr">
        <is>
          <t>352940</t>
        </is>
      </c>
      <c r="C26" t="inlineStr">
        <is>
          <t>2026Q2</t>
        </is>
      </c>
      <c r="D26" t="inlineStr">
        <is>
          <t>OFS</t>
        </is>
      </c>
      <c r="E26" t="n">
        <v>20866041600</v>
      </c>
      <c r="F26" s="5" t="n">
        <v>2165012133</v>
      </c>
      <c r="G26" s="5" t="n">
        <v>1007310092</v>
      </c>
      <c r="H26" s="5" t="n">
        <v>2597793602</v>
      </c>
      <c r="I26" s="9">
        <f>IF(OR(F26="",G26="",H26=""),"",F26+G26-H26)</f>
        <v/>
      </c>
      <c r="J26" t="n">
        <v>574528623</v>
      </c>
      <c r="K26">
        <f>IF(AND(I26="",J26=""),"",IF(OR(I26="",J26=""),"불일치",IF(ABS(I26-J26)&lt;=MAX(1,ABS(J26))*1E-9,"일치","불일치")))</f>
        <v/>
      </c>
      <c r="L26" s="5" t="n">
        <v>2165012133</v>
      </c>
      <c r="M26" s="5" t="n">
        <v>1007310092</v>
      </c>
      <c r="N26" s="5" t="n">
        <v>2597793602</v>
      </c>
      <c r="O26" s="9">
        <f>IF(OR(L26="",M26="",N26=""),"",L26+M26-N26)</f>
        <v/>
      </c>
      <c r="P26" t="n">
        <v>574528623</v>
      </c>
      <c r="Q26">
        <f>IF(AND(O26="",P26=""),"",IF(OR(O26="",P26=""),"불일치",IF(ABS(O26-P26)&lt;=MAX(1,ABS(P26))*1E-9,"일치","불일치")))</f>
        <v/>
      </c>
      <c r="R26" s="5" t="n">
        <v>24585484643</v>
      </c>
      <c r="S26" s="5" t="n">
        <v>33952962076</v>
      </c>
      <c r="T26" s="5" t="n">
        <v>22355656037</v>
      </c>
      <c r="U26" s="9">
        <f>IF(OR(R26="",S26="",T26=""),"",R26+S26-T26)</f>
        <v/>
      </c>
      <c r="V26" t="n">
        <v>36182790682</v>
      </c>
      <c r="W26">
        <f>IF(AND(U26="",V26=""),"",IF(OR(U26="",V26=""),"불일치",IF(ABS(U26-V26)&lt;=MAX(1,ABS(V26))*1E-9,"일치","불일치")))</f>
        <v/>
      </c>
      <c r="X26" s="5" t="n">
        <v>10977215662</v>
      </c>
      <c r="Y26" s="5" t="n">
        <v>11806665529</v>
      </c>
      <c r="Z26" s="5" t="n">
        <v>8685381071</v>
      </c>
      <c r="AA26" s="9">
        <f>IF(OR(X26="",Y26="",Z26=""),"",X26+Y26-Z26)</f>
        <v/>
      </c>
      <c r="AB26" t="n">
        <v>14098500120</v>
      </c>
      <c r="AC26">
        <f>IF(AND(AA26="",AB26=""),"",IF(OR(AA26="",AB26=""),"불일치",IF(ABS(AA26-AB26)&lt;=MAX(1,ABS(AB26))*1E-9,"일치","불일치")))</f>
        <v/>
      </c>
      <c r="AD26" s="5" t="n">
        <v>3301178415</v>
      </c>
      <c r="AE26" s="5" t="n">
        <v>917421524</v>
      </c>
      <c r="AF26" s="5" t="n">
        <v>2988155561</v>
      </c>
      <c r="AG26" s="9">
        <f>IF(OR(AD26="",AE26="",AF26=""),"",AD26+AE26-AF26)</f>
        <v/>
      </c>
      <c r="AH26" t="n">
        <v>1230444378</v>
      </c>
      <c r="AI26">
        <f>IF(AND(AG26="",AH26=""),"",IF(OR(AG26="",AH26=""),"불일치",IF(ABS(AG26-AH26)&lt;=MAX(1,ABS(AH26))*1E-9,"일치","불일치")))</f>
        <v/>
      </c>
      <c r="AJ26" s="5" t="n">
        <v>-4911838525</v>
      </c>
      <c r="AK26" s="5" t="n">
        <v>9087571309</v>
      </c>
      <c r="AL26" s="5" t="n">
        <v>-854294738</v>
      </c>
      <c r="AM26" s="9">
        <f>IF(OR(AJ26="",AK26="",AL26=""),"",AJ26+AK26-AL26)</f>
        <v/>
      </c>
      <c r="AN26" t="n">
        <v>5030027522</v>
      </c>
      <c r="AO26">
        <f>IF(AND(AM26="",AN26=""),"",IF(OR(AM26="",AN26=""),"불일치",IF(ABS(AM26-AN26)&lt;=MAX(1,ABS(AN26))*1E-9,"일치","불일치")))</f>
        <v/>
      </c>
      <c r="AP26" s="5" t="n">
        <v>44522721590</v>
      </c>
      <c r="AQ26" s="5" t="n">
        <v>43969517308</v>
      </c>
      <c r="AR26" s="5" t="n">
        <v>78879794864</v>
      </c>
      <c r="AS26" s="5" t="n">
        <v>69897618335</v>
      </c>
      <c r="AT26" s="5" t="n">
        <v>24471546790</v>
      </c>
      <c r="AU26" s="5" t="n">
        <v>16398587603</v>
      </c>
      <c r="AV26" s="5" t="n">
        <v>2512353378</v>
      </c>
      <c r="AW26" s="5" t="n">
        <v>764667310</v>
      </c>
      <c r="AX26" s="5" t="n">
        <v>0</v>
      </c>
      <c r="AY26" s="5" t="n">
        <v>0</v>
      </c>
      <c r="AZ26" s="9">
        <f>IFERROR(I26/E26,"")</f>
        <v/>
      </c>
      <c r="BA26" t="n">
        <v>0.02753414538385661</v>
      </c>
      <c r="BB26">
        <f>IF(AND(AZ26="",BA26=""),"",IF(OR(AZ26="",BA26=""),"불일치",IF(ABS(AZ26-BA26)&lt;=MAX(1,ABS(BA26))*1E-9,"일치","불일치")))</f>
        <v/>
      </c>
      <c r="BC26" s="9">
        <f>IFERROR(IF(AP26&lt;=0,"",AP26/E26),"")</f>
        <v/>
      </c>
      <c r="BD26" t="n">
        <v>2.133740670295606</v>
      </c>
      <c r="BE26">
        <f>IF(AND(BC26="",BD26=""),"",IF(OR(BC26="",BD26=""),"불일치",IF(ABS(BC26-BD26)&lt;=MAX(1,ABS(BD26))*1E-9,"일치","불일치")))</f>
        <v/>
      </c>
      <c r="BF26" s="9">
        <f>IFERROR(IF(OR(AP26&lt;=0,AQ26&lt;=0),"",I26/((AP26+AQ26)/2)),"")</f>
        <v/>
      </c>
      <c r="BG26" t="n">
        <v>0.01298483641400974</v>
      </c>
      <c r="BH26">
        <f>IF(AND(BF26="",BG26=""),"",IF(OR(BF26="",BG26=""),"불일치",IF(ABS(BF26-BG26)&lt;=MAX(1,ABS(BG26))*1E-9,"일치","불일치")))</f>
        <v/>
      </c>
      <c r="BI26" s="9">
        <f>IFERROR(AA26/((AR26+AS26)/2),"")</f>
        <v/>
      </c>
      <c r="BJ26" t="n">
        <v>0.1895247378866883</v>
      </c>
      <c r="BK26">
        <f>IF(AND(BI26="",BJ26=""),"",IF(OR(BI26="",BJ26=""),"불일치",IF(ABS(BI26-BJ26)&lt;=MAX(1,ABS(BJ26))*1E-9,"일치","불일치")))</f>
        <v/>
      </c>
      <c r="BL26" s="9">
        <f>IFERROR(E26+AT26-AV26-AX26,"")</f>
        <v/>
      </c>
      <c r="BM26" t="n">
        <v>42825235012</v>
      </c>
      <c r="BN26">
        <f>IF(AND(BL26="",BM26=""),"",IF(OR(BL26="",BM26=""),"불일치",IF(ABS(BL26-BM26)&lt;=MAX(1,ABS(BM26))*1E-9,"일치","불일치")))</f>
        <v/>
      </c>
      <c r="BO26" s="9">
        <f>IFERROR(IF(OR(BL26&lt;=0,BL26&lt;0.1*E26),"",AG26/BL26),"")</f>
        <v/>
      </c>
      <c r="BP26" t="n">
        <v>0.02873176008620195</v>
      </c>
      <c r="BQ26">
        <f>IF(AND(BO26="",BP26=""),"",IF(OR(BO26="",BP26=""),"불일치",IF(ABS(BO26-BP26)&lt;=MAX(1,ABS(BP26))*1E-9,"일치","불일치")))</f>
        <v/>
      </c>
      <c r="BR26" s="9">
        <f>IFERROR(IF(O26&lt;=0,"",AM26/O26),"")</f>
        <v/>
      </c>
      <c r="BS26" t="n">
        <v>8.755051220485493</v>
      </c>
      <c r="BT26">
        <f>IF(AND(BR26="",BS26=""),"",IF(OR(BR26="",BS26=""),"불일치",IF(ABS(BR26-BS26)&lt;=MAX(1,ABS(BS26))*1E-9,"일치","불일치")))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9" customWidth="1" min="2" max="2"/>
    <col width="14" customWidth="1" min="3" max="3"/>
    <col width="14" customWidth="1" min="4" max="4"/>
    <col width="18" customWidth="1" min="5" max="5"/>
    <col width="12" customWidth="1" min="6" max="6"/>
    <col width="40" customWidth="1" min="7" max="7"/>
    <col width="26" customWidth="1" min="8" max="8"/>
    <col width="16" customWidth="1" min="9" max="9"/>
    <col width="14" customWidth="1" min="10" max="10"/>
    <col width="9" customWidth="1" min="11" max="11"/>
    <col width="30" customWidth="1" min="12" max="12"/>
  </cols>
  <sheetData>
    <row r="1">
      <c r="A1" s="2" t="inlineStr">
        <is>
          <t>회사</t>
        </is>
      </c>
      <c r="B1" s="2" t="inlineStr">
        <is>
          <t>종목코드</t>
        </is>
      </c>
      <c r="C1" s="2" t="inlineStr">
        <is>
          <t>항목</t>
        </is>
      </c>
      <c r="D1" s="2" t="inlineStr">
        <is>
          <t>기간 역할</t>
        </is>
      </c>
      <c r="E1" s="2" t="inlineStr">
        <is>
          <t>금액(원)</t>
        </is>
      </c>
      <c r="F1" s="2" t="inlineStr">
        <is>
          <t>매핑 신뢰도</t>
        </is>
      </c>
      <c r="G1" s="2" t="inlineStr">
        <is>
          <t>원 계정 ID</t>
        </is>
      </c>
      <c r="H1" s="2" t="inlineStr">
        <is>
          <t>원 계정명</t>
        </is>
      </c>
      <c r="I1" s="2" t="inlineStr">
        <is>
          <t>접수번호</t>
        </is>
      </c>
      <c r="J1" s="2" t="inlineStr">
        <is>
          <t>DART 원문</t>
        </is>
      </c>
      <c r="K1" s="2" t="inlineStr">
        <is>
          <t>확인(O/X)</t>
        </is>
      </c>
      <c r="L1" s="2" t="inlineStr">
        <is>
          <t>메모</t>
        </is>
      </c>
    </row>
    <row r="2">
      <c r="A2" t="inlineStr">
        <is>
          <t>삼성전자</t>
        </is>
      </c>
      <c r="B2" t="inlineStr">
        <is>
          <t>005930</t>
        </is>
      </c>
      <c r="C2" t="inlineStr">
        <is>
          <t>지배주주순이익</t>
        </is>
      </c>
      <c r="D2" t="inlineStr">
        <is>
          <t>당기 YTD</t>
        </is>
      </c>
      <c r="E2" s="3" t="n">
        <v>118370658000000</v>
      </c>
      <c r="F2" t="inlineStr">
        <is>
          <t>id</t>
        </is>
      </c>
      <c r="G2" t="inlineStr">
        <is>
          <t>ifrs-full_ProfitLossAttributableToOwnersOfParent</t>
        </is>
      </c>
      <c r="H2" t="inlineStr">
        <is>
          <t>지배회사지분 반기순이익</t>
        </is>
      </c>
      <c r="I2" t="inlineStr">
        <is>
          <t>20260814003699</t>
        </is>
      </c>
      <c r="J2" s="4" t="inlineStr">
        <is>
          <t>열기</t>
        </is>
      </c>
    </row>
    <row r="3">
      <c r="A3" t="inlineStr">
        <is>
          <t>삼성전자</t>
        </is>
      </c>
      <c r="B3" t="inlineStr">
        <is>
          <t>005930</t>
        </is>
      </c>
      <c r="C3" t="inlineStr">
        <is>
          <t>지배주주순이익</t>
        </is>
      </c>
      <c r="D3" t="inlineStr">
        <is>
          <t>전년 연간</t>
        </is>
      </c>
      <c r="E3" s="3" t="n">
        <v>44260956000000</v>
      </c>
      <c r="F3" t="inlineStr"/>
      <c r="I3" t="inlineStr">
        <is>
          <t>20260310002820</t>
        </is>
      </c>
      <c r="J3" s="4" t="inlineStr">
        <is>
          <t>열기</t>
        </is>
      </c>
    </row>
    <row r="4">
      <c r="A4" t="inlineStr">
        <is>
          <t>삼성전자</t>
        </is>
      </c>
      <c r="B4" t="inlineStr">
        <is>
          <t>005930</t>
        </is>
      </c>
      <c r="C4" t="inlineStr">
        <is>
          <t>지배주주순이익</t>
        </is>
      </c>
      <c r="D4" t="inlineStr">
        <is>
          <t>전년 동기 YTD</t>
        </is>
      </c>
      <c r="E4" s="3" t="n">
        <v>12962441000000</v>
      </c>
      <c r="F4" t="inlineStr"/>
      <c r="I4" t="inlineStr">
        <is>
          <t>20250814003156</t>
        </is>
      </c>
      <c r="J4" s="4" t="inlineStr">
        <is>
          <t>열기</t>
        </is>
      </c>
    </row>
    <row r="5">
      <c r="A5" t="inlineStr">
        <is>
          <t>삼성전자</t>
        </is>
      </c>
      <c r="B5" t="inlineStr">
        <is>
          <t>005930</t>
        </is>
      </c>
      <c r="C5" t="inlineStr">
        <is>
          <t>당기순이익</t>
        </is>
      </c>
      <c r="D5" t="inlineStr">
        <is>
          <t>당기 YTD</t>
        </is>
      </c>
      <c r="E5" s="3" t="n">
        <v>118849733000000</v>
      </c>
      <c r="F5" t="inlineStr">
        <is>
          <t>id</t>
        </is>
      </c>
      <c r="G5" t="inlineStr">
        <is>
          <t>ifrs-full_ProfitLoss</t>
        </is>
      </c>
      <c r="H5" t="inlineStr">
        <is>
          <t>반기순이익</t>
        </is>
      </c>
      <c r="I5" t="inlineStr">
        <is>
          <t>20260814003699</t>
        </is>
      </c>
      <c r="J5" s="4" t="inlineStr">
        <is>
          <t>열기</t>
        </is>
      </c>
    </row>
    <row r="6">
      <c r="A6" t="inlineStr">
        <is>
          <t>삼성전자</t>
        </is>
      </c>
      <c r="B6" t="inlineStr">
        <is>
          <t>005930</t>
        </is>
      </c>
      <c r="C6" t="inlineStr">
        <is>
          <t>당기순이익</t>
        </is>
      </c>
      <c r="D6" t="inlineStr">
        <is>
          <t>전년 연간</t>
        </is>
      </c>
      <c r="E6" s="3" t="n">
        <v>45206805000000</v>
      </c>
      <c r="F6" t="inlineStr"/>
      <c r="I6" t="inlineStr">
        <is>
          <t>20260310002820</t>
        </is>
      </c>
      <c r="J6" s="4" t="inlineStr">
        <is>
          <t>열기</t>
        </is>
      </c>
    </row>
    <row r="7">
      <c r="A7" t="inlineStr">
        <is>
          <t>삼성전자</t>
        </is>
      </c>
      <c r="B7" t="inlineStr">
        <is>
          <t>005930</t>
        </is>
      </c>
      <c r="C7" t="inlineStr">
        <is>
          <t>당기순이익</t>
        </is>
      </c>
      <c r="D7" t="inlineStr">
        <is>
          <t>전년 동기 YTD</t>
        </is>
      </c>
      <c r="E7" s="3" t="n">
        <v>13339313000000</v>
      </c>
      <c r="F7" t="inlineStr"/>
      <c r="I7" t="inlineStr">
        <is>
          <t>20250814003156</t>
        </is>
      </c>
      <c r="J7" s="4" t="inlineStr">
        <is>
          <t>열기</t>
        </is>
      </c>
    </row>
    <row r="8">
      <c r="A8" t="inlineStr">
        <is>
          <t>삼성전자</t>
        </is>
      </c>
      <c r="B8" t="inlineStr">
        <is>
          <t>005930</t>
        </is>
      </c>
      <c r="C8" t="inlineStr">
        <is>
          <t>매출액</t>
        </is>
      </c>
      <c r="D8" t="inlineStr">
        <is>
          <t>당기 YTD</t>
        </is>
      </c>
      <c r="E8" s="3" t="n">
        <v>305372914000000</v>
      </c>
      <c r="F8" t="inlineStr">
        <is>
          <t>id</t>
        </is>
      </c>
      <c r="G8" t="inlineStr">
        <is>
          <t>ifrs-full_Revenue</t>
        </is>
      </c>
      <c r="H8" t="inlineStr">
        <is>
          <t>매출액</t>
        </is>
      </c>
      <c r="I8" t="inlineStr">
        <is>
          <t>20260814003699</t>
        </is>
      </c>
      <c r="J8" s="4" t="inlineStr">
        <is>
          <t>열기</t>
        </is>
      </c>
    </row>
    <row r="9">
      <c r="A9" t="inlineStr">
        <is>
          <t>삼성전자</t>
        </is>
      </c>
      <c r="B9" t="inlineStr">
        <is>
          <t>005930</t>
        </is>
      </c>
      <c r="C9" t="inlineStr">
        <is>
          <t>매출액</t>
        </is>
      </c>
      <c r="D9" t="inlineStr">
        <is>
          <t>전년 연간</t>
        </is>
      </c>
      <c r="E9" s="3" t="n">
        <v>333605938000000</v>
      </c>
      <c r="F9" t="inlineStr"/>
      <c r="I9" t="inlineStr">
        <is>
          <t>20260310002820</t>
        </is>
      </c>
      <c r="J9" s="4" t="inlineStr">
        <is>
          <t>열기</t>
        </is>
      </c>
    </row>
    <row r="10">
      <c r="A10" t="inlineStr">
        <is>
          <t>삼성전자</t>
        </is>
      </c>
      <c r="B10" t="inlineStr">
        <is>
          <t>005930</t>
        </is>
      </c>
      <c r="C10" t="inlineStr">
        <is>
          <t>매출액</t>
        </is>
      </c>
      <c r="D10" t="inlineStr">
        <is>
          <t>전년 동기 YTD</t>
        </is>
      </c>
      <c r="E10" s="3" t="n">
        <v>153706820000000</v>
      </c>
      <c r="F10" t="inlineStr"/>
      <c r="I10" t="inlineStr">
        <is>
          <t>20250814003156</t>
        </is>
      </c>
      <c r="J10" s="4" t="inlineStr">
        <is>
          <t>열기</t>
        </is>
      </c>
    </row>
    <row r="11">
      <c r="A11" t="inlineStr">
        <is>
          <t>삼성전자</t>
        </is>
      </c>
      <c r="B11" t="inlineStr">
        <is>
          <t>005930</t>
        </is>
      </c>
      <c r="C11" t="inlineStr">
        <is>
          <t>매출총이익</t>
        </is>
      </c>
      <c r="D11" t="inlineStr">
        <is>
          <t>당기 YTD</t>
        </is>
      </c>
      <c r="E11" s="3" t="n">
        <v>201213884000000</v>
      </c>
      <c r="F11" t="inlineStr">
        <is>
          <t>id</t>
        </is>
      </c>
      <c r="G11" t="inlineStr">
        <is>
          <t>ifrs-full_GrossProfit</t>
        </is>
      </c>
      <c r="H11" t="inlineStr">
        <is>
          <t>매출총이익</t>
        </is>
      </c>
      <c r="I11" t="inlineStr">
        <is>
          <t>20260814003699</t>
        </is>
      </c>
      <c r="J11" s="4" t="inlineStr">
        <is>
          <t>열기</t>
        </is>
      </c>
    </row>
    <row r="12">
      <c r="A12" t="inlineStr">
        <is>
          <t>삼성전자</t>
        </is>
      </c>
      <c r="B12" t="inlineStr">
        <is>
          <t>005930</t>
        </is>
      </c>
      <c r="C12" t="inlineStr">
        <is>
          <t>매출총이익</t>
        </is>
      </c>
      <c r="D12" t="inlineStr">
        <is>
          <t>전년 연간</t>
        </is>
      </c>
      <c r="E12" s="3" t="n">
        <v>131370425000000</v>
      </c>
      <c r="F12" t="inlineStr"/>
      <c r="I12" t="inlineStr">
        <is>
          <t>20260310002820</t>
        </is>
      </c>
      <c r="J12" s="4" t="inlineStr">
        <is>
          <t>열기</t>
        </is>
      </c>
    </row>
    <row r="13">
      <c r="A13" t="inlineStr">
        <is>
          <t>삼성전자</t>
        </is>
      </c>
      <c r="B13" t="inlineStr">
        <is>
          <t>005930</t>
        </is>
      </c>
      <c r="C13" t="inlineStr">
        <is>
          <t>매출총이익</t>
        </is>
      </c>
      <c r="D13" t="inlineStr">
        <is>
          <t>전년 동기 YTD</t>
        </is>
      </c>
      <c r="E13" s="3" t="n">
        <v>53627323000000</v>
      </c>
      <c r="F13" t="inlineStr"/>
      <c r="I13" t="inlineStr">
        <is>
          <t>20250814003156</t>
        </is>
      </c>
      <c r="J13" s="4" t="inlineStr">
        <is>
          <t>열기</t>
        </is>
      </c>
    </row>
    <row r="14">
      <c r="A14" t="inlineStr">
        <is>
          <t>삼성전자</t>
        </is>
      </c>
      <c r="B14" t="inlineStr">
        <is>
          <t>005930</t>
        </is>
      </c>
      <c r="C14" t="inlineStr">
        <is>
          <t>영업이익</t>
        </is>
      </c>
      <c r="D14" t="inlineStr">
        <is>
          <t>당기 YTD</t>
        </is>
      </c>
      <c r="E14" s="3" t="n">
        <v>146725209000000</v>
      </c>
      <c r="F14" t="inlineStr">
        <is>
          <t>id</t>
        </is>
      </c>
      <c r="G14" t="inlineStr">
        <is>
          <t>dart_OperatingIncomeLoss</t>
        </is>
      </c>
      <c r="H14" t="inlineStr">
        <is>
          <t>영업이익</t>
        </is>
      </c>
      <c r="I14" t="inlineStr">
        <is>
          <t>20260814003699</t>
        </is>
      </c>
      <c r="J14" s="4" t="inlineStr">
        <is>
          <t>열기</t>
        </is>
      </c>
    </row>
    <row r="15">
      <c r="A15" t="inlineStr">
        <is>
          <t>삼성전자</t>
        </is>
      </c>
      <c r="B15" t="inlineStr">
        <is>
          <t>005930</t>
        </is>
      </c>
      <c r="C15" t="inlineStr">
        <is>
          <t>영업이익</t>
        </is>
      </c>
      <c r="D15" t="inlineStr">
        <is>
          <t>전년 연간</t>
        </is>
      </c>
      <c r="E15" s="3" t="n">
        <v>43601051000000</v>
      </c>
      <c r="F15" t="inlineStr"/>
      <c r="I15" t="inlineStr">
        <is>
          <t>20260310002820</t>
        </is>
      </c>
      <c r="J15" s="4" t="inlineStr">
        <is>
          <t>열기</t>
        </is>
      </c>
    </row>
    <row r="16">
      <c r="A16" t="inlineStr">
        <is>
          <t>삼성전자</t>
        </is>
      </c>
      <c r="B16" t="inlineStr">
        <is>
          <t>005930</t>
        </is>
      </c>
      <c r="C16" t="inlineStr">
        <is>
          <t>영업이익</t>
        </is>
      </c>
      <c r="D16" t="inlineStr">
        <is>
          <t>전년 동기 YTD</t>
        </is>
      </c>
      <c r="E16" s="3" t="n">
        <v>11361329000000</v>
      </c>
      <c r="F16" t="inlineStr"/>
      <c r="I16" t="inlineStr">
        <is>
          <t>20250814003156</t>
        </is>
      </c>
      <c r="J16" s="4" t="inlineStr">
        <is>
          <t>열기</t>
        </is>
      </c>
    </row>
    <row r="17">
      <c r="A17" t="inlineStr">
        <is>
          <t>삼성전자</t>
        </is>
      </c>
      <c r="B17" t="inlineStr">
        <is>
          <t>005930</t>
        </is>
      </c>
      <c r="C17" t="inlineStr">
        <is>
          <t>영업현금흐름</t>
        </is>
      </c>
      <c r="D17" t="inlineStr">
        <is>
          <t>당기 YTD</t>
        </is>
      </c>
      <c r="E17" s="3" t="n">
        <v>145355192000000</v>
      </c>
      <c r="F17" t="inlineStr">
        <is>
          <t>id</t>
        </is>
      </c>
      <c r="G17" t="inlineStr">
        <is>
          <t>ifrs-full_CashFlowsFromUsedInOperatingActivities</t>
        </is>
      </c>
      <c r="H17" t="inlineStr">
        <is>
          <t>영업활동현금흐름</t>
        </is>
      </c>
      <c r="I17" t="inlineStr">
        <is>
          <t>20260814003699</t>
        </is>
      </c>
      <c r="J17" s="4" t="inlineStr">
        <is>
          <t>열기</t>
        </is>
      </c>
    </row>
    <row r="18">
      <c r="A18" t="inlineStr">
        <is>
          <t>삼성전자</t>
        </is>
      </c>
      <c r="B18" t="inlineStr">
        <is>
          <t>005930</t>
        </is>
      </c>
      <c r="C18" t="inlineStr">
        <is>
          <t>영업현금흐름</t>
        </is>
      </c>
      <c r="D18" t="inlineStr">
        <is>
          <t>전년 연간</t>
        </is>
      </c>
      <c r="E18" s="3" t="n">
        <v>85315148000000</v>
      </c>
      <c r="F18" t="inlineStr"/>
      <c r="I18" t="inlineStr">
        <is>
          <t>20260310002820</t>
        </is>
      </c>
      <c r="J18" s="4" t="inlineStr">
        <is>
          <t>열기</t>
        </is>
      </c>
    </row>
    <row r="19">
      <c r="A19" t="inlineStr">
        <is>
          <t>삼성전자</t>
        </is>
      </c>
      <c r="B19" t="inlineStr">
        <is>
          <t>005930</t>
        </is>
      </c>
      <c r="C19" t="inlineStr">
        <is>
          <t>영업현금흐름</t>
        </is>
      </c>
      <c r="D19" t="inlineStr">
        <is>
          <t>전년 동기 YTD</t>
        </is>
      </c>
      <c r="E19" s="3" t="n">
        <v>33941002000000</v>
      </c>
      <c r="F19" t="inlineStr"/>
      <c r="I19" t="inlineStr">
        <is>
          <t>20250814003156</t>
        </is>
      </c>
      <c r="J19" s="4" t="inlineStr">
        <is>
          <t>열기</t>
        </is>
      </c>
    </row>
    <row r="20">
      <c r="A20" t="inlineStr">
        <is>
          <t>삼성전자</t>
        </is>
      </c>
      <c r="B20" t="inlineStr">
        <is>
          <t>005930</t>
        </is>
      </c>
      <c r="C20" t="inlineStr">
        <is>
          <t>지배주주자본</t>
        </is>
      </c>
      <c r="D20" t="inlineStr">
        <is>
          <t>당기말</t>
        </is>
      </c>
      <c r="E20" s="3" t="n">
        <v>565064740000000</v>
      </c>
      <c r="F20" t="inlineStr">
        <is>
          <t>id</t>
        </is>
      </c>
      <c r="G20" t="inlineStr">
        <is>
          <t>ifrs-full_EquityAttributableToOwnersOfParent</t>
        </is>
      </c>
      <c r="H20" t="inlineStr">
        <is>
          <t>지배기업 소유주지분</t>
        </is>
      </c>
      <c r="I20" t="inlineStr">
        <is>
          <t>20260814003699</t>
        </is>
      </c>
      <c r="J20" s="4" t="inlineStr">
        <is>
          <t>열기</t>
        </is>
      </c>
    </row>
    <row r="21">
      <c r="A21" t="inlineStr">
        <is>
          <t>삼성전자</t>
        </is>
      </c>
      <c r="B21" t="inlineStr">
        <is>
          <t>005930</t>
        </is>
      </c>
      <c r="C21" t="inlineStr">
        <is>
          <t>지배주주자본</t>
        </is>
      </c>
      <c r="D21" t="inlineStr">
        <is>
          <t>전년 동기말</t>
        </is>
      </c>
      <c r="E21" s="3" t="n">
        <v>388694117000000</v>
      </c>
      <c r="F21" t="inlineStr"/>
      <c r="I21" t="inlineStr">
        <is>
          <t>20250814003156</t>
        </is>
      </c>
      <c r="J21" s="4" t="inlineStr">
        <is>
          <t>열기</t>
        </is>
      </c>
    </row>
    <row r="22">
      <c r="A22" t="inlineStr">
        <is>
          <t>삼성전자</t>
        </is>
      </c>
      <c r="B22" t="inlineStr">
        <is>
          <t>005930</t>
        </is>
      </c>
      <c r="C22" t="inlineStr">
        <is>
          <t>자산총계</t>
        </is>
      </c>
      <c r="D22" t="inlineStr">
        <is>
          <t>당기말</t>
        </is>
      </c>
      <c r="E22" s="3" t="n">
        <v>759480516000000</v>
      </c>
      <c r="F22" t="inlineStr">
        <is>
          <t>id</t>
        </is>
      </c>
      <c r="G22" t="inlineStr">
        <is>
          <t>ifrs-full_Assets</t>
        </is>
      </c>
      <c r="H22" t="inlineStr">
        <is>
          <t>자산총계</t>
        </is>
      </c>
      <c r="I22" t="inlineStr">
        <is>
          <t>20260814003699</t>
        </is>
      </c>
      <c r="J22" s="4" t="inlineStr">
        <is>
          <t>열기</t>
        </is>
      </c>
    </row>
    <row r="23">
      <c r="A23" t="inlineStr">
        <is>
          <t>삼성전자</t>
        </is>
      </c>
      <c r="B23" t="inlineStr">
        <is>
          <t>005930</t>
        </is>
      </c>
      <c r="C23" t="inlineStr">
        <is>
          <t>자산총계</t>
        </is>
      </c>
      <c r="D23" t="inlineStr">
        <is>
          <t>전년 동기말</t>
        </is>
      </c>
      <c r="E23" s="3" t="n">
        <v>504875185000000</v>
      </c>
      <c r="F23" t="inlineStr"/>
      <c r="I23" t="inlineStr">
        <is>
          <t>20250814003156</t>
        </is>
      </c>
      <c r="J23" s="4" t="inlineStr">
        <is>
          <t>열기</t>
        </is>
      </c>
    </row>
    <row r="24">
      <c r="A24" t="inlineStr">
        <is>
          <t>삼성전자</t>
        </is>
      </c>
      <c r="B24" t="inlineStr">
        <is>
          <t>005930</t>
        </is>
      </c>
      <c r="C24" t="inlineStr">
        <is>
          <t>이자부부채</t>
        </is>
      </c>
      <c r="D24" t="inlineStr">
        <is>
          <t>당기말</t>
        </is>
      </c>
      <c r="E24" s="3" t="n">
        <v>22408721000000</v>
      </c>
      <c r="F24" t="inlineStr">
        <is>
          <t>id</t>
        </is>
      </c>
      <c r="G24" t="inlineStr">
        <is>
          <t>dart_CurrentLoansReceived + ifrs-full_CurrentPortionOfLongtermBorrowings + ifrs-full_NoncurrentPortionOfNoncurrentBondsIssued + ifrs-full_NoncurrentPortionOfNoncurrentLoansReceived</t>
        </is>
      </c>
      <c r="H24" t="inlineStr">
        <is>
          <t>단기차입금 + 유동성장기부채 + 사채 + 장기차입금</t>
        </is>
      </c>
      <c r="I24" t="inlineStr">
        <is>
          <t>20260814003699</t>
        </is>
      </c>
      <c r="J24" s="4" t="inlineStr">
        <is>
          <t>열기</t>
        </is>
      </c>
    </row>
    <row r="25">
      <c r="A25" t="inlineStr">
        <is>
          <t>삼성전자</t>
        </is>
      </c>
      <c r="B25" t="inlineStr">
        <is>
          <t>005930</t>
        </is>
      </c>
      <c r="C25" t="inlineStr">
        <is>
          <t>이자부부채</t>
        </is>
      </c>
      <c r="D25" t="inlineStr">
        <is>
          <t>전년 동기말</t>
        </is>
      </c>
      <c r="E25" s="3" t="n">
        <v>14029673000000</v>
      </c>
      <c r="F25" t="inlineStr"/>
      <c r="I25" t="inlineStr">
        <is>
          <t>20250814003156</t>
        </is>
      </c>
      <c r="J25" s="4" t="inlineStr">
        <is>
          <t>열기</t>
        </is>
      </c>
    </row>
    <row r="26">
      <c r="A26" t="inlineStr">
        <is>
          <t>삼성전자</t>
        </is>
      </c>
      <c r="B26" t="inlineStr">
        <is>
          <t>005930</t>
        </is>
      </c>
      <c r="C26" t="inlineStr">
        <is>
          <t>현금성자산</t>
        </is>
      </c>
      <c r="D26" t="inlineStr">
        <is>
          <t>당기말</t>
        </is>
      </c>
      <c r="E26" s="3" t="n">
        <v>92916382000000</v>
      </c>
      <c r="F26" t="inlineStr">
        <is>
          <t>id</t>
        </is>
      </c>
      <c r="G26" t="inlineStr">
        <is>
          <t>ifrs-full_CashAndCashEquivalents</t>
        </is>
      </c>
      <c r="H26" t="inlineStr">
        <is>
          <t>현금및현금성자산</t>
        </is>
      </c>
      <c r="I26" t="inlineStr">
        <is>
          <t>20260814003699</t>
        </is>
      </c>
      <c r="J26" s="4" t="inlineStr">
        <is>
          <t>열기</t>
        </is>
      </c>
    </row>
    <row r="27">
      <c r="A27" t="inlineStr">
        <is>
          <t>삼성전자</t>
        </is>
      </c>
      <c r="B27" t="inlineStr">
        <is>
          <t>005930</t>
        </is>
      </c>
      <c r="C27" t="inlineStr">
        <is>
          <t>현금성자산</t>
        </is>
      </c>
      <c r="D27" t="inlineStr">
        <is>
          <t>전년 동기말</t>
        </is>
      </c>
      <c r="E27" s="3" t="n">
        <v>47120025000000</v>
      </c>
      <c r="F27" t="inlineStr"/>
      <c r="I27" t="inlineStr">
        <is>
          <t>20250814003156</t>
        </is>
      </c>
      <c r="J27" s="4" t="inlineStr">
        <is>
          <t>열기</t>
        </is>
      </c>
    </row>
    <row r="28">
      <c r="A28" t="inlineStr">
        <is>
          <t>삼성전자</t>
        </is>
      </c>
      <c r="B28" t="inlineStr">
        <is>
          <t>005930</t>
        </is>
      </c>
      <c r="C28" t="inlineStr">
        <is>
          <t>단기금융상품</t>
        </is>
      </c>
      <c r="D28" t="inlineStr">
        <is>
          <t>당기말</t>
        </is>
      </c>
      <c r="E28" s="3" t="n">
        <v>97036646000000</v>
      </c>
      <c r="F28" t="inlineStr">
        <is>
          <t>id</t>
        </is>
      </c>
      <c r="G28" t="inlineStr">
        <is>
          <t>ifrs-full_ShorttermDepositsNotClassifiedAsCashEquivalents</t>
        </is>
      </c>
      <c r="H28" t="inlineStr">
        <is>
          <t>단기금융상품</t>
        </is>
      </c>
      <c r="I28" t="inlineStr">
        <is>
          <t>20260814003699</t>
        </is>
      </c>
      <c r="J28" s="4" t="inlineStr">
        <is>
          <t>열기</t>
        </is>
      </c>
    </row>
    <row r="29">
      <c r="A29" t="inlineStr">
        <is>
          <t>삼성전자</t>
        </is>
      </c>
      <c r="B29" t="inlineStr">
        <is>
          <t>005930</t>
        </is>
      </c>
      <c r="C29" t="inlineStr">
        <is>
          <t>단기금융상품</t>
        </is>
      </c>
      <c r="D29" t="inlineStr">
        <is>
          <t>전년 동기말</t>
        </is>
      </c>
      <c r="E29" s="3" t="n">
        <v>53580554000000</v>
      </c>
      <c r="F29" t="inlineStr"/>
      <c r="I29" t="inlineStr">
        <is>
          <t>20250814003156</t>
        </is>
      </c>
      <c r="J29" s="4" t="inlineStr">
        <is>
          <t>열기</t>
        </is>
      </c>
    </row>
    <row r="30">
      <c r="A30" t="inlineStr">
        <is>
          <t>SK하이닉스</t>
        </is>
      </c>
      <c r="B30" t="inlineStr">
        <is>
          <t>000660</t>
        </is>
      </c>
      <c r="C30" t="inlineStr">
        <is>
          <t>지배주주순이익</t>
        </is>
      </c>
      <c r="D30" t="inlineStr">
        <is>
          <t>당기 YTD</t>
        </is>
      </c>
      <c r="E30" s="3" t="n">
        <v>134150412000000</v>
      </c>
      <c r="F30" t="inlineStr">
        <is>
          <t>id</t>
        </is>
      </c>
      <c r="G30" t="inlineStr">
        <is>
          <t>ifrs-full_ProfitLossAttributableToOwnersOfParent</t>
        </is>
      </c>
      <c r="H30" t="inlineStr">
        <is>
          <t>지배기업의 소유주지분</t>
        </is>
      </c>
      <c r="I30" t="inlineStr">
        <is>
          <t>20260814003509</t>
        </is>
      </c>
      <c r="J30" s="4" t="inlineStr">
        <is>
          <t>열기</t>
        </is>
      </c>
    </row>
    <row r="31">
      <c r="A31" t="inlineStr">
        <is>
          <t>SK하이닉스</t>
        </is>
      </c>
      <c r="B31" t="inlineStr">
        <is>
          <t>000660</t>
        </is>
      </c>
      <c r="C31" t="inlineStr">
        <is>
          <t>지배주주순이익</t>
        </is>
      </c>
      <c r="D31" t="inlineStr">
        <is>
          <t>전년 연간</t>
        </is>
      </c>
      <c r="E31" s="3" t="n">
        <v>42919287000000</v>
      </c>
      <c r="F31" t="inlineStr"/>
      <c r="I31" t="inlineStr">
        <is>
          <t>20260317000635</t>
        </is>
      </c>
      <c r="J31" s="4" t="inlineStr">
        <is>
          <t>열기</t>
        </is>
      </c>
    </row>
    <row r="32">
      <c r="A32" t="inlineStr">
        <is>
          <t>SK하이닉스</t>
        </is>
      </c>
      <c r="B32" t="inlineStr">
        <is>
          <t>000660</t>
        </is>
      </c>
      <c r="C32" t="inlineStr">
        <is>
          <t>지배주주순이익</t>
        </is>
      </c>
      <c r="D32" t="inlineStr">
        <is>
          <t>전년 동기 YTD</t>
        </is>
      </c>
      <c r="E32" s="3" t="n">
        <v>15104309000000</v>
      </c>
      <c r="F32" t="inlineStr"/>
      <c r="I32" t="inlineStr">
        <is>
          <t>20250814003049</t>
        </is>
      </c>
      <c r="J32" s="4" t="inlineStr">
        <is>
          <t>열기</t>
        </is>
      </c>
    </row>
    <row r="33">
      <c r="A33" t="inlineStr">
        <is>
          <t>SK하이닉스</t>
        </is>
      </c>
      <c r="B33" t="inlineStr">
        <is>
          <t>000660</t>
        </is>
      </c>
      <c r="C33" t="inlineStr">
        <is>
          <t>당기순이익</t>
        </is>
      </c>
      <c r="D33" t="inlineStr">
        <is>
          <t>당기 YTD</t>
        </is>
      </c>
      <c r="E33" s="3" t="n">
        <v>134268502000000</v>
      </c>
      <c r="F33" t="inlineStr">
        <is>
          <t>id</t>
        </is>
      </c>
      <c r="G33" t="inlineStr">
        <is>
          <t>ifrs-full_ProfitLoss</t>
        </is>
      </c>
      <c r="H33" t="inlineStr">
        <is>
          <t>반기순이익</t>
        </is>
      </c>
      <c r="I33" t="inlineStr">
        <is>
          <t>20260814003509</t>
        </is>
      </c>
      <c r="J33" s="4" t="inlineStr">
        <is>
          <t>열기</t>
        </is>
      </c>
    </row>
    <row r="34">
      <c r="A34" t="inlineStr">
        <is>
          <t>SK하이닉스</t>
        </is>
      </c>
      <c r="B34" t="inlineStr">
        <is>
          <t>000660</t>
        </is>
      </c>
      <c r="C34" t="inlineStr">
        <is>
          <t>당기순이익</t>
        </is>
      </c>
      <c r="D34" t="inlineStr">
        <is>
          <t>전년 연간</t>
        </is>
      </c>
      <c r="E34" s="3" t="n">
        <v>42947902000000</v>
      </c>
      <c r="F34" t="inlineStr"/>
      <c r="I34" t="inlineStr">
        <is>
          <t>20260317000635</t>
        </is>
      </c>
      <c r="J34" s="4" t="inlineStr">
        <is>
          <t>열기</t>
        </is>
      </c>
    </row>
    <row r="35">
      <c r="A35" t="inlineStr">
        <is>
          <t>SK하이닉스</t>
        </is>
      </c>
      <c r="B35" t="inlineStr">
        <is>
          <t>000660</t>
        </is>
      </c>
      <c r="C35" t="inlineStr">
        <is>
          <t>당기순이익</t>
        </is>
      </c>
      <c r="D35" t="inlineStr">
        <is>
          <t>전년 동기 YTD</t>
        </is>
      </c>
      <c r="E35" s="3" t="n">
        <v>15104411000000</v>
      </c>
      <c r="F35" t="inlineStr"/>
      <c r="I35" t="inlineStr">
        <is>
          <t>20250814003049</t>
        </is>
      </c>
      <c r="J35" s="4" t="inlineStr">
        <is>
          <t>열기</t>
        </is>
      </c>
    </row>
    <row r="36">
      <c r="A36" t="inlineStr">
        <is>
          <t>SK하이닉스</t>
        </is>
      </c>
      <c r="B36" t="inlineStr">
        <is>
          <t>000660</t>
        </is>
      </c>
      <c r="C36" t="inlineStr">
        <is>
          <t>매출액</t>
        </is>
      </c>
      <c r="D36" t="inlineStr">
        <is>
          <t>당기 YTD</t>
        </is>
      </c>
      <c r="E36" s="3" t="n">
        <v>131895033000000</v>
      </c>
      <c r="F36" t="inlineStr">
        <is>
          <t>id</t>
        </is>
      </c>
      <c r="G36" t="inlineStr">
        <is>
          <t>ifrs-full_Revenue</t>
        </is>
      </c>
      <c r="H36" t="inlineStr">
        <is>
          <t>매출액</t>
        </is>
      </c>
      <c r="I36" t="inlineStr">
        <is>
          <t>20260814003509</t>
        </is>
      </c>
      <c r="J36" s="4" t="inlineStr">
        <is>
          <t>열기</t>
        </is>
      </c>
    </row>
    <row r="37">
      <c r="A37" t="inlineStr">
        <is>
          <t>SK하이닉스</t>
        </is>
      </c>
      <c r="B37" t="inlineStr">
        <is>
          <t>000660</t>
        </is>
      </c>
      <c r="C37" t="inlineStr">
        <is>
          <t>매출액</t>
        </is>
      </c>
      <c r="D37" t="inlineStr">
        <is>
          <t>전년 연간</t>
        </is>
      </c>
      <c r="E37" s="3" t="n">
        <v>97146675000000</v>
      </c>
      <c r="F37" t="inlineStr"/>
      <c r="I37" t="inlineStr">
        <is>
          <t>20260317000635</t>
        </is>
      </c>
      <c r="J37" s="4" t="inlineStr">
        <is>
          <t>열기</t>
        </is>
      </c>
    </row>
    <row r="38">
      <c r="A38" t="inlineStr">
        <is>
          <t>SK하이닉스</t>
        </is>
      </c>
      <c r="B38" t="inlineStr">
        <is>
          <t>000660</t>
        </is>
      </c>
      <c r="C38" t="inlineStr">
        <is>
          <t>매출액</t>
        </is>
      </c>
      <c r="D38" t="inlineStr">
        <is>
          <t>전년 동기 YTD</t>
        </is>
      </c>
      <c r="E38" s="3" t="n">
        <v>39871093000000</v>
      </c>
      <c r="F38" t="inlineStr"/>
      <c r="I38" t="inlineStr">
        <is>
          <t>20250814003049</t>
        </is>
      </c>
      <c r="J38" s="4" t="inlineStr">
        <is>
          <t>열기</t>
        </is>
      </c>
    </row>
    <row r="39">
      <c r="A39" t="inlineStr">
        <is>
          <t>SK하이닉스</t>
        </is>
      </c>
      <c r="B39" t="inlineStr">
        <is>
          <t>000660</t>
        </is>
      </c>
      <c r="C39" t="inlineStr">
        <is>
          <t>매출총이익</t>
        </is>
      </c>
      <c r="D39" t="inlineStr">
        <is>
          <t>당기 YTD</t>
        </is>
      </c>
      <c r="E39" s="3" t="n">
        <v>107670770000000</v>
      </c>
      <c r="F39" t="inlineStr">
        <is>
          <t>id</t>
        </is>
      </c>
      <c r="G39" t="inlineStr">
        <is>
          <t>ifrs-full_GrossProfit</t>
        </is>
      </c>
      <c r="H39" t="inlineStr">
        <is>
          <t>매출총이익</t>
        </is>
      </c>
      <c r="I39" t="inlineStr">
        <is>
          <t>20260814003509</t>
        </is>
      </c>
      <c r="J39" s="4" t="inlineStr">
        <is>
          <t>열기</t>
        </is>
      </c>
    </row>
    <row r="40">
      <c r="A40" t="inlineStr">
        <is>
          <t>SK하이닉스</t>
        </is>
      </c>
      <c r="B40" t="inlineStr">
        <is>
          <t>000660</t>
        </is>
      </c>
      <c r="C40" t="inlineStr">
        <is>
          <t>매출총이익</t>
        </is>
      </c>
      <c r="D40" t="inlineStr">
        <is>
          <t>전년 연간</t>
        </is>
      </c>
      <c r="E40" s="3" t="n">
        <v>58690790000000</v>
      </c>
      <c r="F40" t="inlineStr"/>
      <c r="I40" t="inlineStr">
        <is>
          <t>20260317000635</t>
        </is>
      </c>
      <c r="J40" s="4" t="inlineStr">
        <is>
          <t>열기</t>
        </is>
      </c>
    </row>
    <row r="41">
      <c r="A41" t="inlineStr">
        <is>
          <t>SK하이닉스</t>
        </is>
      </c>
      <c r="B41" t="inlineStr">
        <is>
          <t>000660</t>
        </is>
      </c>
      <c r="C41" t="inlineStr">
        <is>
          <t>매출총이익</t>
        </is>
      </c>
      <c r="D41" t="inlineStr">
        <is>
          <t>전년 동기 YTD</t>
        </is>
      </c>
      <c r="E41" s="3" t="n">
        <v>22085315000000</v>
      </c>
      <c r="F41" t="inlineStr"/>
      <c r="I41" t="inlineStr">
        <is>
          <t>20250814003049</t>
        </is>
      </c>
      <c r="J41" s="4" t="inlineStr">
        <is>
          <t>열기</t>
        </is>
      </c>
    </row>
    <row r="42">
      <c r="A42" t="inlineStr">
        <is>
          <t>SK하이닉스</t>
        </is>
      </c>
      <c r="B42" t="inlineStr">
        <is>
          <t>000660</t>
        </is>
      </c>
      <c r="C42" t="inlineStr">
        <is>
          <t>영업이익</t>
        </is>
      </c>
      <c r="D42" t="inlineStr">
        <is>
          <t>당기 YTD</t>
        </is>
      </c>
      <c r="E42" s="3" t="n">
        <v>98152891000000</v>
      </c>
      <c r="F42" t="inlineStr">
        <is>
          <t>id</t>
        </is>
      </c>
      <c r="G42" t="inlineStr">
        <is>
          <t>dart_OperatingIncomeLoss</t>
        </is>
      </c>
      <c r="H42" t="inlineStr">
        <is>
          <t>영업이익</t>
        </is>
      </c>
      <c r="I42" t="inlineStr">
        <is>
          <t>20260814003509</t>
        </is>
      </c>
      <c r="J42" s="4" t="inlineStr">
        <is>
          <t>열기</t>
        </is>
      </c>
    </row>
    <row r="43">
      <c r="A43" t="inlineStr">
        <is>
          <t>SK하이닉스</t>
        </is>
      </c>
      <c r="B43" t="inlineStr">
        <is>
          <t>000660</t>
        </is>
      </c>
      <c r="C43" t="inlineStr">
        <is>
          <t>영업이익</t>
        </is>
      </c>
      <c r="D43" t="inlineStr">
        <is>
          <t>전년 연간</t>
        </is>
      </c>
      <c r="E43" s="3" t="n">
        <v>47206319000000</v>
      </c>
      <c r="F43" t="inlineStr"/>
      <c r="I43" t="inlineStr">
        <is>
          <t>20260317000635</t>
        </is>
      </c>
      <c r="J43" s="4" t="inlineStr">
        <is>
          <t>열기</t>
        </is>
      </c>
    </row>
    <row r="44">
      <c r="A44" t="inlineStr">
        <is>
          <t>SK하이닉스</t>
        </is>
      </c>
      <c r="B44" t="inlineStr">
        <is>
          <t>000660</t>
        </is>
      </c>
      <c r="C44" t="inlineStr">
        <is>
          <t>영업이익</t>
        </is>
      </c>
      <c r="D44" t="inlineStr">
        <is>
          <t>전년 동기 YTD</t>
        </is>
      </c>
      <c r="E44" s="3" t="n">
        <v>16653355000000</v>
      </c>
      <c r="F44" t="inlineStr"/>
      <c r="I44" t="inlineStr">
        <is>
          <t>20250814003049</t>
        </is>
      </c>
      <c r="J44" s="4" t="inlineStr">
        <is>
          <t>열기</t>
        </is>
      </c>
    </row>
    <row r="45">
      <c r="A45" t="inlineStr">
        <is>
          <t>SK하이닉스</t>
        </is>
      </c>
      <c r="B45" t="inlineStr">
        <is>
          <t>000660</t>
        </is>
      </c>
      <c r="C45" t="inlineStr">
        <is>
          <t>영업현금흐름</t>
        </is>
      </c>
      <c r="D45" t="inlineStr">
        <is>
          <t>당기 YTD</t>
        </is>
      </c>
      <c r="E45" s="3" t="n">
        <v>91742501000000</v>
      </c>
      <c r="F45" t="inlineStr">
        <is>
          <t>id</t>
        </is>
      </c>
      <c r="G45" t="inlineStr">
        <is>
          <t>ifrs-full_CashFlowsFromUsedInOperatingActivities</t>
        </is>
      </c>
      <c r="H45" t="inlineStr">
        <is>
          <t>영업활동 현금흐름</t>
        </is>
      </c>
      <c r="I45" t="inlineStr">
        <is>
          <t>20260814003509</t>
        </is>
      </c>
      <c r="J45" s="4" t="inlineStr">
        <is>
          <t>열기</t>
        </is>
      </c>
    </row>
    <row r="46">
      <c r="A46" t="inlineStr">
        <is>
          <t>SK하이닉스</t>
        </is>
      </c>
      <c r="B46" t="inlineStr">
        <is>
          <t>000660</t>
        </is>
      </c>
      <c r="C46" t="inlineStr">
        <is>
          <t>영업현금흐름</t>
        </is>
      </c>
      <c r="D46" t="inlineStr">
        <is>
          <t>전년 연간</t>
        </is>
      </c>
      <c r="E46" s="3" t="n">
        <v>53373126000000</v>
      </c>
      <c r="F46" t="inlineStr"/>
      <c r="I46" t="inlineStr">
        <is>
          <t>20260317000635</t>
        </is>
      </c>
      <c r="J46" s="4" t="inlineStr">
        <is>
          <t>열기</t>
        </is>
      </c>
    </row>
    <row r="47">
      <c r="A47" t="inlineStr">
        <is>
          <t>SK하이닉스</t>
        </is>
      </c>
      <c r="B47" t="inlineStr">
        <is>
          <t>000660</t>
        </is>
      </c>
      <c r="C47" t="inlineStr">
        <is>
          <t>영업현금흐름</t>
        </is>
      </c>
      <c r="D47" t="inlineStr">
        <is>
          <t>전년 동기 YTD</t>
        </is>
      </c>
      <c r="E47" s="3" t="n">
        <v>18189841000000</v>
      </c>
      <c r="F47" t="inlineStr"/>
      <c r="I47" t="inlineStr">
        <is>
          <t>20250814003049</t>
        </is>
      </c>
      <c r="J47" s="4" t="inlineStr">
        <is>
          <t>열기</t>
        </is>
      </c>
    </row>
    <row r="48">
      <c r="A48" t="inlineStr">
        <is>
          <t>SK하이닉스</t>
        </is>
      </c>
      <c r="B48" t="inlineStr">
        <is>
          <t>000660</t>
        </is>
      </c>
      <c r="C48" t="inlineStr">
        <is>
          <t>지배주주자본</t>
        </is>
      </c>
      <c r="D48" t="inlineStr">
        <is>
          <t>당기말</t>
        </is>
      </c>
      <c r="E48" s="3" t="n">
        <v>262380610000000</v>
      </c>
      <c r="F48" t="inlineStr">
        <is>
          <t>id</t>
        </is>
      </c>
      <c r="G48" t="inlineStr">
        <is>
          <t>ifrs-full_EquityAttributableToOwnersOfParent</t>
        </is>
      </c>
      <c r="H48" t="inlineStr">
        <is>
          <t>지배기업의 소유지분</t>
        </is>
      </c>
      <c r="I48" t="inlineStr">
        <is>
          <t>20260814003509</t>
        </is>
      </c>
      <c r="J48" s="4" t="inlineStr">
        <is>
          <t>열기</t>
        </is>
      </c>
    </row>
    <row r="49">
      <c r="A49" t="inlineStr">
        <is>
          <t>SK하이닉스</t>
        </is>
      </c>
      <c r="B49" t="inlineStr">
        <is>
          <t>000660</t>
        </is>
      </c>
      <c r="C49" t="inlineStr">
        <is>
          <t>지배주주자본</t>
        </is>
      </c>
      <c r="D49" t="inlineStr">
        <is>
          <t>전년 동기말</t>
        </is>
      </c>
      <c r="E49" s="3" t="n">
        <v>87127160000000</v>
      </c>
      <c r="F49" t="inlineStr"/>
      <c r="I49" t="inlineStr">
        <is>
          <t>20250814003049</t>
        </is>
      </c>
      <c r="J49" s="4" t="inlineStr">
        <is>
          <t>열기</t>
        </is>
      </c>
    </row>
    <row r="50">
      <c r="A50" t="inlineStr">
        <is>
          <t>SK하이닉스</t>
        </is>
      </c>
      <c r="B50" t="inlineStr">
        <is>
          <t>000660</t>
        </is>
      </c>
      <c r="C50" t="inlineStr">
        <is>
          <t>자산총계</t>
        </is>
      </c>
      <c r="D50" t="inlineStr">
        <is>
          <t>당기말</t>
        </is>
      </c>
      <c r="E50" s="3" t="n">
        <v>348862214000000</v>
      </c>
      <c r="F50" t="inlineStr">
        <is>
          <t>id</t>
        </is>
      </c>
      <c r="G50" t="inlineStr">
        <is>
          <t>ifrs-full_Assets</t>
        </is>
      </c>
      <c r="H50" t="inlineStr">
        <is>
          <t>자산총계</t>
        </is>
      </c>
      <c r="I50" t="inlineStr">
        <is>
          <t>20260814003509</t>
        </is>
      </c>
      <c r="J50" s="4" t="inlineStr">
        <is>
          <t>열기</t>
        </is>
      </c>
    </row>
    <row r="51">
      <c r="A51" t="inlineStr">
        <is>
          <t>SK하이닉스</t>
        </is>
      </c>
      <c r="B51" t="inlineStr">
        <is>
          <t>000660</t>
        </is>
      </c>
      <c r="C51" t="inlineStr">
        <is>
          <t>자산총계</t>
        </is>
      </c>
      <c r="D51" t="inlineStr">
        <is>
          <t>전년 동기말</t>
        </is>
      </c>
      <c r="E51" s="3" t="n">
        <v>129087781000000</v>
      </c>
      <c r="F51" t="inlineStr"/>
      <c r="I51" t="inlineStr">
        <is>
          <t>20250814003049</t>
        </is>
      </c>
      <c r="J51" s="4" t="inlineStr">
        <is>
          <t>열기</t>
        </is>
      </c>
    </row>
    <row r="52">
      <c r="A52" t="inlineStr">
        <is>
          <t>SK하이닉스</t>
        </is>
      </c>
      <c r="B52" t="inlineStr">
        <is>
          <t>000660</t>
        </is>
      </c>
      <c r="C52" t="inlineStr">
        <is>
          <t>이자부부채</t>
        </is>
      </c>
      <c r="D52" t="inlineStr">
        <is>
          <t>당기말</t>
        </is>
      </c>
      <c r="E52" s="3" t="n">
        <v>21113139000000</v>
      </c>
      <c r="F52" t="inlineStr">
        <is>
          <t>id</t>
        </is>
      </c>
      <c r="G52" t="inlineStr">
        <is>
          <t>ifrs-full_CurrentBorrowingsAndCurrentPortionOfNoncurrentBorrowings + ifrs-full_CurrentLeaseLiabilities + ifrs-full_LongtermBorrowings + ifrs-full_NoncurrentLeaseLiabilities</t>
        </is>
      </c>
      <c r="H52" t="inlineStr">
        <is>
          <t>차입금 + 리스부채 + 차입금 + 리스부채</t>
        </is>
      </c>
      <c r="I52" t="inlineStr">
        <is>
          <t>20260814003509</t>
        </is>
      </c>
      <c r="J52" s="4" t="inlineStr">
        <is>
          <t>열기</t>
        </is>
      </c>
    </row>
    <row r="53">
      <c r="A53" t="inlineStr">
        <is>
          <t>SK하이닉스</t>
        </is>
      </c>
      <c r="B53" t="inlineStr">
        <is>
          <t>000660</t>
        </is>
      </c>
      <c r="C53" t="inlineStr">
        <is>
          <t>이자부부채</t>
        </is>
      </c>
      <c r="D53" t="inlineStr">
        <is>
          <t>전년 동기말</t>
        </is>
      </c>
      <c r="E53" s="3" t="n">
        <v>24369171000000</v>
      </c>
      <c r="F53" t="inlineStr"/>
      <c r="I53" t="inlineStr">
        <is>
          <t>20250814003049</t>
        </is>
      </c>
      <c r="J53" s="4" t="inlineStr">
        <is>
          <t>열기</t>
        </is>
      </c>
    </row>
    <row r="54">
      <c r="A54" t="inlineStr">
        <is>
          <t>SK하이닉스</t>
        </is>
      </c>
      <c r="B54" t="inlineStr">
        <is>
          <t>000660</t>
        </is>
      </c>
      <c r="C54" t="inlineStr">
        <is>
          <t>현금성자산</t>
        </is>
      </c>
      <c r="D54" t="inlineStr">
        <is>
          <t>당기말</t>
        </is>
      </c>
      <c r="E54" s="3" t="n">
        <v>26835986000000</v>
      </c>
      <c r="F54" t="inlineStr">
        <is>
          <t>id</t>
        </is>
      </c>
      <c r="G54" t="inlineStr">
        <is>
          <t>ifrs-full_CashAndCashEquivalents</t>
        </is>
      </c>
      <c r="H54" t="inlineStr">
        <is>
          <t>현금및현금성자산</t>
        </is>
      </c>
      <c r="I54" t="inlineStr">
        <is>
          <t>20260814003509</t>
        </is>
      </c>
      <c r="J54" s="4" t="inlineStr">
        <is>
          <t>열기</t>
        </is>
      </c>
    </row>
    <row r="55">
      <c r="A55" t="inlineStr">
        <is>
          <t>SK하이닉스</t>
        </is>
      </c>
      <c r="B55" t="inlineStr">
        <is>
          <t>000660</t>
        </is>
      </c>
      <c r="C55" t="inlineStr">
        <is>
          <t>현금성자산</t>
        </is>
      </c>
      <c r="D55" t="inlineStr">
        <is>
          <t>전년 동기말</t>
        </is>
      </c>
      <c r="E55" s="3" t="n">
        <v>9075311000000</v>
      </c>
      <c r="F55" t="inlineStr"/>
      <c r="I55" t="inlineStr">
        <is>
          <t>20250814003049</t>
        </is>
      </c>
      <c r="J55" s="4" t="inlineStr">
        <is>
          <t>열기</t>
        </is>
      </c>
    </row>
    <row r="56">
      <c r="A56" t="inlineStr">
        <is>
          <t>SK하이닉스</t>
        </is>
      </c>
      <c r="B56" t="inlineStr">
        <is>
          <t>000660</t>
        </is>
      </c>
      <c r="C56" t="inlineStr">
        <is>
          <t>단기금융상품</t>
        </is>
      </c>
      <c r="D56" t="inlineStr">
        <is>
          <t>당기말</t>
        </is>
      </c>
      <c r="E56" s="3" t="n">
        <v>22397559000000</v>
      </c>
      <c r="F56" t="inlineStr">
        <is>
          <t>id</t>
        </is>
      </c>
      <c r="G56" t="inlineStr">
        <is>
          <t>ifrs-full_ShorttermDepositsNotClassifiedAsCashEquivalents</t>
        </is>
      </c>
      <c r="H56" t="inlineStr">
        <is>
          <t>단기금융상품</t>
        </is>
      </c>
      <c r="I56" t="inlineStr">
        <is>
          <t>20260814003509</t>
        </is>
      </c>
      <c r="J56" s="4" t="inlineStr">
        <is>
          <t>열기</t>
        </is>
      </c>
    </row>
    <row r="57">
      <c r="A57" t="inlineStr">
        <is>
          <t>SK하이닉스</t>
        </is>
      </c>
      <c r="B57" t="inlineStr">
        <is>
          <t>000660</t>
        </is>
      </c>
      <c r="C57" t="inlineStr">
        <is>
          <t>단기금융상품</t>
        </is>
      </c>
      <c r="D57" t="inlineStr">
        <is>
          <t>전년 동기말</t>
        </is>
      </c>
      <c r="E57" s="3" t="n">
        <v>6219683000000</v>
      </c>
      <c r="F57" t="inlineStr"/>
      <c r="I57" t="inlineStr">
        <is>
          <t>20250814003049</t>
        </is>
      </c>
      <c r="J57" s="4" t="inlineStr">
        <is>
          <t>열기</t>
        </is>
      </c>
    </row>
    <row r="58">
      <c r="A58" t="inlineStr">
        <is>
          <t>현대자동차</t>
        </is>
      </c>
      <c r="B58" t="inlineStr">
        <is>
          <t>005380</t>
        </is>
      </c>
      <c r="C58" t="inlineStr">
        <is>
          <t>지배주주순이익</t>
        </is>
      </c>
      <c r="D58" t="inlineStr">
        <is>
          <t>당기 YTD</t>
        </is>
      </c>
      <c r="E58" s="3" t="n">
        <v>4856197000000</v>
      </c>
      <c r="F58" t="inlineStr">
        <is>
          <t>id</t>
        </is>
      </c>
      <c r="G58" t="inlineStr">
        <is>
          <t>ifrs-full_ProfitLossAttributableToOwnersOfParent</t>
        </is>
      </c>
      <c r="H58" t="inlineStr">
        <is>
          <t>지배기업소유주지분</t>
        </is>
      </c>
      <c r="I58" t="inlineStr">
        <is>
          <t>20260814003521</t>
        </is>
      </c>
      <c r="J58" s="4" t="inlineStr">
        <is>
          <t>열기</t>
        </is>
      </c>
    </row>
    <row r="59">
      <c r="A59" t="inlineStr">
        <is>
          <t>현대자동차</t>
        </is>
      </c>
      <c r="B59" t="inlineStr">
        <is>
          <t>005380</t>
        </is>
      </c>
      <c r="C59" t="inlineStr">
        <is>
          <t>지배주주순이익</t>
        </is>
      </c>
      <c r="D59" t="inlineStr">
        <is>
          <t>전년 연간</t>
        </is>
      </c>
      <c r="E59" s="3" t="n">
        <v>9445987000000</v>
      </c>
      <c r="F59" t="inlineStr"/>
      <c r="I59" t="inlineStr">
        <is>
          <t>20260318001394</t>
        </is>
      </c>
      <c r="J59" s="4" t="inlineStr">
        <is>
          <t>열기</t>
        </is>
      </c>
    </row>
    <row r="60">
      <c r="A60" t="inlineStr">
        <is>
          <t>현대자동차</t>
        </is>
      </c>
      <c r="B60" t="inlineStr">
        <is>
          <t>005380</t>
        </is>
      </c>
      <c r="C60" t="inlineStr">
        <is>
          <t>지배주주순이익</t>
        </is>
      </c>
      <c r="D60" t="inlineStr">
        <is>
          <t>전년 동기 YTD</t>
        </is>
      </c>
      <c r="E60" s="3" t="n">
        <v>6155597000000</v>
      </c>
      <c r="F60" t="inlineStr"/>
      <c r="I60" t="inlineStr">
        <is>
          <t>20250814003906</t>
        </is>
      </c>
      <c r="J60" s="4" t="inlineStr">
        <is>
          <t>열기</t>
        </is>
      </c>
    </row>
    <row r="61">
      <c r="A61" t="inlineStr">
        <is>
          <t>현대자동차</t>
        </is>
      </c>
      <c r="B61" t="inlineStr">
        <is>
          <t>005380</t>
        </is>
      </c>
      <c r="C61" t="inlineStr">
        <is>
          <t>당기순이익</t>
        </is>
      </c>
      <c r="D61" t="inlineStr">
        <is>
          <t>당기 YTD</t>
        </is>
      </c>
      <c r="E61" s="3" t="n">
        <v>5472888000000</v>
      </c>
      <c r="F61" t="inlineStr">
        <is>
          <t>id</t>
        </is>
      </c>
      <c r="G61" t="inlineStr">
        <is>
          <t>ifrs-full_ProfitLoss</t>
        </is>
      </c>
      <c r="H61" t="inlineStr">
        <is>
          <t>연결반기순이익</t>
        </is>
      </c>
      <c r="I61" t="inlineStr">
        <is>
          <t>20260814003521</t>
        </is>
      </c>
      <c r="J61" s="4" t="inlineStr">
        <is>
          <t>열기</t>
        </is>
      </c>
    </row>
    <row r="62">
      <c r="A62" t="inlineStr">
        <is>
          <t>현대자동차</t>
        </is>
      </c>
      <c r="B62" t="inlineStr">
        <is>
          <t>005380</t>
        </is>
      </c>
      <c r="C62" t="inlineStr">
        <is>
          <t>당기순이익</t>
        </is>
      </c>
      <c r="D62" t="inlineStr">
        <is>
          <t>전년 연간</t>
        </is>
      </c>
      <c r="E62" s="3" t="n">
        <v>10364775000000</v>
      </c>
      <c r="F62" t="inlineStr"/>
      <c r="I62" t="inlineStr">
        <is>
          <t>20260318001394</t>
        </is>
      </c>
      <c r="J62" s="4" t="inlineStr">
        <is>
          <t>열기</t>
        </is>
      </c>
    </row>
    <row r="63">
      <c r="A63" t="inlineStr">
        <is>
          <t>현대자동차</t>
        </is>
      </c>
      <c r="B63" t="inlineStr">
        <is>
          <t>005380</t>
        </is>
      </c>
      <c r="C63" t="inlineStr">
        <is>
          <t>당기순이익</t>
        </is>
      </c>
      <c r="D63" t="inlineStr">
        <is>
          <t>전년 동기 YTD</t>
        </is>
      </c>
      <c r="E63" s="3" t="n">
        <v>6632564000000</v>
      </c>
      <c r="F63" t="inlineStr"/>
      <c r="I63" t="inlineStr">
        <is>
          <t>20250814003906</t>
        </is>
      </c>
      <c r="J63" s="4" t="inlineStr">
        <is>
          <t>열기</t>
        </is>
      </c>
    </row>
    <row r="64">
      <c r="A64" t="inlineStr">
        <is>
          <t>현대자동차</t>
        </is>
      </c>
      <c r="B64" t="inlineStr">
        <is>
          <t>005380</t>
        </is>
      </c>
      <c r="C64" t="inlineStr">
        <is>
          <t>매출액</t>
        </is>
      </c>
      <c r="D64" t="inlineStr">
        <is>
          <t>당기 YTD</t>
        </is>
      </c>
      <c r="E64" s="3" t="n">
        <v>95154214000000</v>
      </c>
      <c r="F64" t="inlineStr">
        <is>
          <t>id</t>
        </is>
      </c>
      <c r="G64" t="inlineStr">
        <is>
          <t>ifrs-full_Revenue</t>
        </is>
      </c>
      <c r="H64" t="inlineStr">
        <is>
          <t>매출액</t>
        </is>
      </c>
      <c r="I64" t="inlineStr">
        <is>
          <t>20260814003521</t>
        </is>
      </c>
      <c r="J64" s="4" t="inlineStr">
        <is>
          <t>열기</t>
        </is>
      </c>
    </row>
    <row r="65">
      <c r="A65" t="inlineStr">
        <is>
          <t>현대자동차</t>
        </is>
      </c>
      <c r="B65" t="inlineStr">
        <is>
          <t>005380</t>
        </is>
      </c>
      <c r="C65" t="inlineStr">
        <is>
          <t>매출액</t>
        </is>
      </c>
      <c r="D65" t="inlineStr">
        <is>
          <t>전년 연간</t>
        </is>
      </c>
      <c r="E65" s="3" t="n">
        <v>186254472000000</v>
      </c>
      <c r="F65" t="inlineStr"/>
      <c r="I65" t="inlineStr">
        <is>
          <t>20260318001394</t>
        </is>
      </c>
      <c r="J65" s="4" t="inlineStr">
        <is>
          <t>열기</t>
        </is>
      </c>
    </row>
    <row r="66">
      <c r="A66" t="inlineStr">
        <is>
          <t>현대자동차</t>
        </is>
      </c>
      <c r="B66" t="inlineStr">
        <is>
          <t>005380</t>
        </is>
      </c>
      <c r="C66" t="inlineStr">
        <is>
          <t>매출액</t>
        </is>
      </c>
      <c r="D66" t="inlineStr">
        <is>
          <t>전년 동기 YTD</t>
        </is>
      </c>
      <c r="E66" s="3" t="n">
        <v>92694438000000</v>
      </c>
      <c r="F66" t="inlineStr"/>
      <c r="I66" t="inlineStr">
        <is>
          <t>20250814003906</t>
        </is>
      </c>
      <c r="J66" s="4" t="inlineStr">
        <is>
          <t>열기</t>
        </is>
      </c>
    </row>
    <row r="67">
      <c r="A67" t="inlineStr">
        <is>
          <t>현대자동차</t>
        </is>
      </c>
      <c r="B67" t="inlineStr">
        <is>
          <t>005380</t>
        </is>
      </c>
      <c r="C67" t="inlineStr">
        <is>
          <t>매출총이익</t>
        </is>
      </c>
      <c r="D67" t="inlineStr">
        <is>
          <t>당기 YTD</t>
        </is>
      </c>
      <c r="E67" s="3" t="n">
        <v>16752940000000</v>
      </c>
      <c r="F67" t="inlineStr">
        <is>
          <t>id</t>
        </is>
      </c>
      <c r="G67" t="inlineStr">
        <is>
          <t>ifrs-full_GrossProfit</t>
        </is>
      </c>
      <c r="H67" t="inlineStr">
        <is>
          <t>매출총이익</t>
        </is>
      </c>
      <c r="I67" t="inlineStr">
        <is>
          <t>20260814003521</t>
        </is>
      </c>
      <c r="J67" s="4" t="inlineStr">
        <is>
          <t>열기</t>
        </is>
      </c>
    </row>
    <row r="68">
      <c r="A68" t="inlineStr">
        <is>
          <t>현대자동차</t>
        </is>
      </c>
      <c r="B68" t="inlineStr">
        <is>
          <t>005380</t>
        </is>
      </c>
      <c r="C68" t="inlineStr">
        <is>
          <t>매출총이익</t>
        </is>
      </c>
      <c r="D68" t="inlineStr">
        <is>
          <t>전년 연간</t>
        </is>
      </c>
      <c r="E68" s="3" t="n">
        <v>34216836000000</v>
      </c>
      <c r="F68" t="inlineStr"/>
      <c r="I68" t="inlineStr">
        <is>
          <t>20260318001394</t>
        </is>
      </c>
      <c r="J68" s="4" t="inlineStr">
        <is>
          <t>열기</t>
        </is>
      </c>
    </row>
    <row r="69">
      <c r="A69" t="inlineStr">
        <is>
          <t>현대자동차</t>
        </is>
      </c>
      <c r="B69" t="inlineStr">
        <is>
          <t>005380</t>
        </is>
      </c>
      <c r="C69" t="inlineStr">
        <is>
          <t>매출총이익</t>
        </is>
      </c>
      <c r="D69" t="inlineStr">
        <is>
          <t>전년 동기 YTD</t>
        </is>
      </c>
      <c r="E69" s="3" t="n">
        <v>18089338000000</v>
      </c>
      <c r="F69" t="inlineStr"/>
      <c r="I69" t="inlineStr">
        <is>
          <t>20250814003906</t>
        </is>
      </c>
      <c r="J69" s="4" t="inlineStr">
        <is>
          <t>열기</t>
        </is>
      </c>
    </row>
    <row r="70">
      <c r="A70" t="inlineStr">
        <is>
          <t>현대자동차</t>
        </is>
      </c>
      <c r="B70" t="inlineStr">
        <is>
          <t>005380</t>
        </is>
      </c>
      <c r="C70" t="inlineStr">
        <is>
          <t>영업이익</t>
        </is>
      </c>
      <c r="D70" t="inlineStr">
        <is>
          <t>당기 YTD</t>
        </is>
      </c>
      <c r="E70" s="3" t="n">
        <v>5365574000000</v>
      </c>
      <c r="F70" t="inlineStr">
        <is>
          <t>id</t>
        </is>
      </c>
      <c r="G70" t="inlineStr">
        <is>
          <t>dart_OperatingIncomeLoss</t>
        </is>
      </c>
      <c r="H70" t="inlineStr">
        <is>
          <t>영업이익</t>
        </is>
      </c>
      <c r="I70" t="inlineStr">
        <is>
          <t>20260814003521</t>
        </is>
      </c>
      <c r="J70" s="4" t="inlineStr">
        <is>
          <t>열기</t>
        </is>
      </c>
    </row>
    <row r="71">
      <c r="A71" t="inlineStr">
        <is>
          <t>현대자동차</t>
        </is>
      </c>
      <c r="B71" t="inlineStr">
        <is>
          <t>005380</t>
        </is>
      </c>
      <c r="C71" t="inlineStr">
        <is>
          <t>영업이익</t>
        </is>
      </c>
      <c r="D71" t="inlineStr">
        <is>
          <t>전년 연간</t>
        </is>
      </c>
      <c r="E71" s="3" t="n">
        <v>11467851000000</v>
      </c>
      <c r="F71" t="inlineStr"/>
      <c r="I71" t="inlineStr">
        <is>
          <t>20260318001394</t>
        </is>
      </c>
      <c r="J71" s="4" t="inlineStr">
        <is>
          <t>열기</t>
        </is>
      </c>
    </row>
    <row r="72">
      <c r="A72" t="inlineStr">
        <is>
          <t>현대자동차</t>
        </is>
      </c>
      <c r="B72" t="inlineStr">
        <is>
          <t>005380</t>
        </is>
      </c>
      <c r="C72" t="inlineStr">
        <is>
          <t>영업이익</t>
        </is>
      </c>
      <c r="D72" t="inlineStr">
        <is>
          <t>전년 동기 YTD</t>
        </is>
      </c>
      <c r="E72" s="3" t="n">
        <v>7235206000000</v>
      </c>
      <c r="F72" t="inlineStr"/>
      <c r="I72" t="inlineStr">
        <is>
          <t>20250814003906</t>
        </is>
      </c>
      <c r="J72" s="4" t="inlineStr">
        <is>
          <t>열기</t>
        </is>
      </c>
    </row>
    <row r="73">
      <c r="A73" t="inlineStr">
        <is>
          <t>현대자동차</t>
        </is>
      </c>
      <c r="B73" t="inlineStr">
        <is>
          <t>005380</t>
        </is>
      </c>
      <c r="C73" t="inlineStr">
        <is>
          <t>영업현금흐름</t>
        </is>
      </c>
      <c r="D73" t="inlineStr">
        <is>
          <t>당기 YTD</t>
        </is>
      </c>
      <c r="E73" s="3" t="n">
        <v>4849653000000</v>
      </c>
      <c r="F73" t="inlineStr">
        <is>
          <t>id</t>
        </is>
      </c>
      <c r="G73" t="inlineStr">
        <is>
          <t>ifrs-full_CashFlowsFromUsedInOperatingActivities</t>
        </is>
      </c>
      <c r="H73" t="inlineStr">
        <is>
          <t>영업활동으로 인한 현금흐름</t>
        </is>
      </c>
      <c r="I73" t="inlineStr">
        <is>
          <t>20260814003521</t>
        </is>
      </c>
      <c r="J73" s="4" t="inlineStr">
        <is>
          <t>열기</t>
        </is>
      </c>
    </row>
    <row r="74">
      <c r="A74" t="inlineStr">
        <is>
          <t>현대자동차</t>
        </is>
      </c>
      <c r="B74" t="inlineStr">
        <is>
          <t>005380</t>
        </is>
      </c>
      <c r="C74" t="inlineStr">
        <is>
          <t>영업현금흐름</t>
        </is>
      </c>
      <c r="D74" t="inlineStr">
        <is>
          <t>전년 연간</t>
        </is>
      </c>
      <c r="E74" s="3" t="n">
        <v>-5991270000000</v>
      </c>
      <c r="F74" t="inlineStr"/>
      <c r="I74" t="inlineStr">
        <is>
          <t>20260318001394</t>
        </is>
      </c>
      <c r="J74" s="4" t="inlineStr">
        <is>
          <t>열기</t>
        </is>
      </c>
    </row>
    <row r="75">
      <c r="A75" t="inlineStr">
        <is>
          <t>현대자동차</t>
        </is>
      </c>
      <c r="B75" t="inlineStr">
        <is>
          <t>005380</t>
        </is>
      </c>
      <c r="C75" t="inlineStr">
        <is>
          <t>영업현금흐름</t>
        </is>
      </c>
      <c r="D75" t="inlineStr">
        <is>
          <t>전년 동기 YTD</t>
        </is>
      </c>
      <c r="E75" s="3" t="n">
        <v>959651000000</v>
      </c>
      <c r="F75" t="inlineStr"/>
      <c r="I75" t="inlineStr">
        <is>
          <t>20250814003906</t>
        </is>
      </c>
      <c r="J75" s="4" t="inlineStr">
        <is>
          <t>열기</t>
        </is>
      </c>
    </row>
    <row r="76">
      <c r="A76" t="inlineStr">
        <is>
          <t>현대자동차</t>
        </is>
      </c>
      <c r="B76" t="inlineStr">
        <is>
          <t>005380</t>
        </is>
      </c>
      <c r="C76" t="inlineStr">
        <is>
          <t>지배주주자본</t>
        </is>
      </c>
      <c r="D76" t="inlineStr">
        <is>
          <t>당기말</t>
        </is>
      </c>
      <c r="E76" s="3" t="n">
        <v>122327997000000</v>
      </c>
      <c r="F76" t="inlineStr">
        <is>
          <t>id</t>
        </is>
      </c>
      <c r="G76" t="inlineStr">
        <is>
          <t>ifrs-full_EquityAttributableToOwnersOfParent</t>
        </is>
      </c>
      <c r="H76" t="inlineStr">
        <is>
          <t>지배기업소유주지분</t>
        </is>
      </c>
      <c r="I76" t="inlineStr">
        <is>
          <t>20260814003521</t>
        </is>
      </c>
      <c r="J76" s="4" t="inlineStr">
        <is>
          <t>열기</t>
        </is>
      </c>
    </row>
    <row r="77">
      <c r="A77" t="inlineStr">
        <is>
          <t>현대자동차</t>
        </is>
      </c>
      <c r="B77" t="inlineStr">
        <is>
          <t>005380</t>
        </is>
      </c>
      <c r="C77" t="inlineStr">
        <is>
          <t>지배주주자본</t>
        </is>
      </c>
      <c r="D77" t="inlineStr">
        <is>
          <t>전년 동기말</t>
        </is>
      </c>
      <c r="E77" s="3" t="n">
        <v>110277190000000</v>
      </c>
      <c r="F77" t="inlineStr"/>
      <c r="I77" t="inlineStr">
        <is>
          <t>20250814003906</t>
        </is>
      </c>
      <c r="J77" s="4" t="inlineStr">
        <is>
          <t>열기</t>
        </is>
      </c>
    </row>
    <row r="78">
      <c r="A78" t="inlineStr">
        <is>
          <t>현대자동차</t>
        </is>
      </c>
      <c r="B78" t="inlineStr">
        <is>
          <t>005380</t>
        </is>
      </c>
      <c r="C78" t="inlineStr">
        <is>
          <t>자산총계</t>
        </is>
      </c>
      <c r="D78" t="inlineStr">
        <is>
          <t>당기말</t>
        </is>
      </c>
      <c r="E78" s="3" t="n">
        <v>394512167000000</v>
      </c>
      <c r="F78" t="inlineStr">
        <is>
          <t>id</t>
        </is>
      </c>
      <c r="G78" t="inlineStr">
        <is>
          <t>ifrs-full_Assets</t>
        </is>
      </c>
      <c r="H78" t="inlineStr">
        <is>
          <t>자산총계</t>
        </is>
      </c>
      <c r="I78" t="inlineStr">
        <is>
          <t>20260814003521</t>
        </is>
      </c>
      <c r="J78" s="4" t="inlineStr">
        <is>
          <t>열기</t>
        </is>
      </c>
    </row>
    <row r="79">
      <c r="A79" t="inlineStr">
        <is>
          <t>현대자동차</t>
        </is>
      </c>
      <c r="B79" t="inlineStr">
        <is>
          <t>005380</t>
        </is>
      </c>
      <c r="C79" t="inlineStr">
        <is>
          <t>자산총계</t>
        </is>
      </c>
      <c r="D79" t="inlineStr">
        <is>
          <t>전년 동기말</t>
        </is>
      </c>
      <c r="E79" s="3" t="n">
        <v>339702469000000</v>
      </c>
      <c r="F79" t="inlineStr"/>
      <c r="I79" t="inlineStr">
        <is>
          <t>20250814003906</t>
        </is>
      </c>
      <c r="J79" s="4" t="inlineStr">
        <is>
          <t>열기</t>
        </is>
      </c>
    </row>
    <row r="80">
      <c r="A80" t="inlineStr">
        <is>
          <t>현대자동차</t>
        </is>
      </c>
      <c r="B80" t="inlineStr">
        <is>
          <t>005380</t>
        </is>
      </c>
      <c r="C80" t="inlineStr">
        <is>
          <t>이자부부채</t>
        </is>
      </c>
      <c r="D80" t="inlineStr">
        <is>
          <t>당기말</t>
        </is>
      </c>
      <c r="E80" s="3" t="n">
        <v>190418762000000</v>
      </c>
      <c r="F80" t="inlineStr">
        <is>
          <t>id</t>
        </is>
      </c>
      <c r="G80" t="inlineStr">
        <is>
          <t>ifrs-full_CurrentLeaseLiabilities + ifrs-full_CurrentPortionOfLongtermBorrowings + ifrs-full_ShorttermBorrowings + ifrs-full_NoncurrentLeaseLiabilities + ifrs-full_NoncurrentPortionOfNoncurrentBondsIssued + ifrs-full_NoncurrentPortionOfNoncurrentLoansReceived</t>
        </is>
      </c>
      <c r="H80" t="inlineStr">
        <is>
          <t>리스부채 + 유동성장기부채 + 단기차입금 + 리스부채 + 사채 + 장기차입금</t>
        </is>
      </c>
      <c r="I80" t="inlineStr">
        <is>
          <t>20260814003521</t>
        </is>
      </c>
      <c r="J80" s="4" t="inlineStr">
        <is>
          <t>열기</t>
        </is>
      </c>
    </row>
    <row r="81">
      <c r="A81" t="inlineStr">
        <is>
          <t>현대자동차</t>
        </is>
      </c>
      <c r="B81" t="inlineStr">
        <is>
          <t>005380</t>
        </is>
      </c>
      <c r="C81" t="inlineStr">
        <is>
          <t>이자부부채</t>
        </is>
      </c>
      <c r="D81" t="inlineStr">
        <is>
          <t>전년 동기말</t>
        </is>
      </c>
      <c r="E81" s="3" t="n">
        <v>155335783000000</v>
      </c>
      <c r="F81" t="inlineStr"/>
      <c r="I81" t="inlineStr">
        <is>
          <t>20250814003906</t>
        </is>
      </c>
      <c r="J81" s="4" t="inlineStr">
        <is>
          <t>열기</t>
        </is>
      </c>
    </row>
    <row r="82">
      <c r="A82" t="inlineStr">
        <is>
          <t>현대자동차</t>
        </is>
      </c>
      <c r="B82" t="inlineStr">
        <is>
          <t>005380</t>
        </is>
      </c>
      <c r="C82" t="inlineStr">
        <is>
          <t>현금성자산</t>
        </is>
      </c>
      <c r="D82" t="inlineStr">
        <is>
          <t>당기말</t>
        </is>
      </c>
      <c r="E82" s="3" t="n">
        <v>20256150000000</v>
      </c>
      <c r="F82" t="inlineStr">
        <is>
          <t>id</t>
        </is>
      </c>
      <c r="G82" t="inlineStr">
        <is>
          <t>ifrs-full_CashAndCashEquivalents</t>
        </is>
      </c>
      <c r="H82" t="inlineStr">
        <is>
          <t>현금및현금성자산</t>
        </is>
      </c>
      <c r="I82" t="inlineStr">
        <is>
          <t>20260814003521</t>
        </is>
      </c>
      <c r="J82" s="4" t="inlineStr">
        <is>
          <t>열기</t>
        </is>
      </c>
    </row>
    <row r="83">
      <c r="A83" t="inlineStr">
        <is>
          <t>현대자동차</t>
        </is>
      </c>
      <c r="B83" t="inlineStr">
        <is>
          <t>005380</t>
        </is>
      </c>
      <c r="C83" t="inlineStr">
        <is>
          <t>현금성자산</t>
        </is>
      </c>
      <c r="D83" t="inlineStr">
        <is>
          <t>전년 동기말</t>
        </is>
      </c>
      <c r="E83" s="3" t="n">
        <v>17519724000000</v>
      </c>
      <c r="F83" t="inlineStr"/>
      <c r="I83" t="inlineStr">
        <is>
          <t>20250814003906</t>
        </is>
      </c>
      <c r="J83" s="4" t="inlineStr">
        <is>
          <t>열기</t>
        </is>
      </c>
    </row>
    <row r="84">
      <c r="A84" t="inlineStr">
        <is>
          <t>현대자동차</t>
        </is>
      </c>
      <c r="B84" t="inlineStr">
        <is>
          <t>005380</t>
        </is>
      </c>
      <c r="C84" t="inlineStr">
        <is>
          <t>단기금융상품</t>
        </is>
      </c>
      <c r="D84" t="inlineStr">
        <is>
          <t>당기말</t>
        </is>
      </c>
      <c r="E84" s="3" t="n">
        <v>5737868000000</v>
      </c>
      <c r="F84" t="inlineStr">
        <is>
          <t>id</t>
        </is>
      </c>
      <c r="G84" t="inlineStr">
        <is>
          <t>ifrs-full_ShorttermDepositsNotClassifiedAsCashEquivalents</t>
        </is>
      </c>
      <c r="H84" t="inlineStr">
        <is>
          <t>단기금융상품</t>
        </is>
      </c>
      <c r="I84" t="inlineStr">
        <is>
          <t>20260814003521</t>
        </is>
      </c>
      <c r="J84" s="4" t="inlineStr">
        <is>
          <t>열기</t>
        </is>
      </c>
    </row>
    <row r="85">
      <c r="A85" t="inlineStr">
        <is>
          <t>현대자동차</t>
        </is>
      </c>
      <c r="B85" t="inlineStr">
        <is>
          <t>005380</t>
        </is>
      </c>
      <c r="C85" t="inlineStr">
        <is>
          <t>단기금융상품</t>
        </is>
      </c>
      <c r="D85" t="inlineStr">
        <is>
          <t>전년 동기말</t>
        </is>
      </c>
      <c r="E85" s="3" t="n">
        <v>7062973000000</v>
      </c>
      <c r="F85" t="inlineStr"/>
      <c r="I85" t="inlineStr">
        <is>
          <t>20250814003906</t>
        </is>
      </c>
      <c r="J85" s="4" t="inlineStr">
        <is>
          <t>열기</t>
        </is>
      </c>
    </row>
    <row r="86">
      <c r="A86" t="inlineStr">
        <is>
          <t>NAVER</t>
        </is>
      </c>
      <c r="B86" t="inlineStr">
        <is>
          <t>035420</t>
        </is>
      </c>
      <c r="C86" t="inlineStr">
        <is>
          <t>지배주주순이익</t>
        </is>
      </c>
      <c r="D86" t="inlineStr">
        <is>
          <t>당기 YTD</t>
        </is>
      </c>
      <c r="E86" s="3" t="n">
        <v>983946430695</v>
      </c>
      <c r="F86" t="inlineStr">
        <is>
          <t>id</t>
        </is>
      </c>
      <c r="G86" t="inlineStr">
        <is>
          <t>ifrs-full_ProfitLossAttributableToOwnersOfParent</t>
        </is>
      </c>
      <c r="H86" t="inlineStr">
        <is>
          <t>지배기업 소유주지분</t>
        </is>
      </c>
      <c r="I86" t="inlineStr">
        <is>
          <t>20260814002266</t>
        </is>
      </c>
      <c r="J86" s="4" t="inlineStr">
        <is>
          <t>열기</t>
        </is>
      </c>
    </row>
    <row r="87">
      <c r="A87" t="inlineStr">
        <is>
          <t>NAVER</t>
        </is>
      </c>
      <c r="B87" t="inlineStr">
        <is>
          <t>035420</t>
        </is>
      </c>
      <c r="C87" t="inlineStr">
        <is>
          <t>지배주주순이익</t>
        </is>
      </c>
      <c r="D87" t="inlineStr">
        <is>
          <t>전년 연간</t>
        </is>
      </c>
      <c r="E87" s="3" t="n">
        <v>1953214734956</v>
      </c>
      <c r="F87" t="inlineStr"/>
      <c r="I87" t="inlineStr">
        <is>
          <t>20260313001021</t>
        </is>
      </c>
      <c r="J87" s="4" t="inlineStr">
        <is>
          <t>열기</t>
        </is>
      </c>
    </row>
    <row r="88">
      <c r="A88" t="inlineStr">
        <is>
          <t>NAVER</t>
        </is>
      </c>
      <c r="B88" t="inlineStr">
        <is>
          <t>035420</t>
        </is>
      </c>
      <c r="C88" t="inlineStr">
        <is>
          <t>지배주주순이익</t>
        </is>
      </c>
      <c r="D88" t="inlineStr">
        <is>
          <t>전년 동기 YTD</t>
        </is>
      </c>
      <c r="E88" s="3" t="n">
        <v>913622969800</v>
      </c>
      <c r="F88" t="inlineStr"/>
      <c r="I88" t="inlineStr">
        <is>
          <t>20250814002281</t>
        </is>
      </c>
      <c r="J88" s="4" t="inlineStr">
        <is>
          <t>열기</t>
        </is>
      </c>
    </row>
    <row r="89">
      <c r="A89" t="inlineStr">
        <is>
          <t>NAVER</t>
        </is>
      </c>
      <c r="B89" t="inlineStr">
        <is>
          <t>035420</t>
        </is>
      </c>
      <c r="C89" t="inlineStr">
        <is>
          <t>당기순이익</t>
        </is>
      </c>
      <c r="D89" t="inlineStr">
        <is>
          <t>당기 YTD</t>
        </is>
      </c>
      <c r="E89" s="3" t="n">
        <v>995294183086</v>
      </c>
      <c r="F89" t="inlineStr">
        <is>
          <t>id</t>
        </is>
      </c>
      <c r="G89" t="inlineStr">
        <is>
          <t>ifrs-full_ProfitLoss</t>
        </is>
      </c>
      <c r="H89" t="inlineStr">
        <is>
          <t>반기순이익</t>
        </is>
      </c>
      <c r="I89" t="inlineStr">
        <is>
          <t>20260814002266</t>
        </is>
      </c>
      <c r="J89" s="4" t="inlineStr">
        <is>
          <t>열기</t>
        </is>
      </c>
    </row>
    <row r="90">
      <c r="A90" t="inlineStr">
        <is>
          <t>NAVER</t>
        </is>
      </c>
      <c r="B90" t="inlineStr">
        <is>
          <t>035420</t>
        </is>
      </c>
      <c r="C90" t="inlineStr">
        <is>
          <t>당기순이익</t>
        </is>
      </c>
      <c r="D90" t="inlineStr">
        <is>
          <t>전년 연간</t>
        </is>
      </c>
      <c r="E90" s="3" t="n">
        <v>1818746310015</v>
      </c>
      <c r="F90" t="inlineStr"/>
      <c r="I90" t="inlineStr">
        <is>
          <t>20260313001021</t>
        </is>
      </c>
      <c r="J90" s="4" t="inlineStr">
        <is>
          <t>열기</t>
        </is>
      </c>
    </row>
    <row r="91">
      <c r="A91" t="inlineStr">
        <is>
          <t>NAVER</t>
        </is>
      </c>
      <c r="B91" t="inlineStr">
        <is>
          <t>035420</t>
        </is>
      </c>
      <c r="C91" t="inlineStr">
        <is>
          <t>당기순이익</t>
        </is>
      </c>
      <c r="D91" t="inlineStr">
        <is>
          <t>전년 동기 YTD</t>
        </is>
      </c>
      <c r="E91" s="3" t="n">
        <v>921019633550</v>
      </c>
      <c r="F91" t="inlineStr"/>
      <c r="I91" t="inlineStr">
        <is>
          <t>20250814002281</t>
        </is>
      </c>
      <c r="J91" s="4" t="inlineStr">
        <is>
          <t>열기</t>
        </is>
      </c>
    </row>
    <row r="92">
      <c r="A92" t="inlineStr">
        <is>
          <t>NAVER</t>
        </is>
      </c>
      <c r="B92" t="inlineStr">
        <is>
          <t>035420</t>
        </is>
      </c>
      <c r="C92" t="inlineStr">
        <is>
          <t>매출액</t>
        </is>
      </c>
      <c r="D92" t="inlineStr">
        <is>
          <t>당기 YTD</t>
        </is>
      </c>
      <c r="E92" s="3" t="n">
        <v>6629816183195</v>
      </c>
      <c r="F92" t="inlineStr">
        <is>
          <t>id</t>
        </is>
      </c>
      <c r="G92" t="inlineStr">
        <is>
          <t>ifrs-full_Revenue</t>
        </is>
      </c>
      <c r="H92" t="inlineStr">
        <is>
          <t>영업수익</t>
        </is>
      </c>
      <c r="I92" t="inlineStr">
        <is>
          <t>20260814002266</t>
        </is>
      </c>
      <c r="J92" s="4" t="inlineStr">
        <is>
          <t>열기</t>
        </is>
      </c>
    </row>
    <row r="93">
      <c r="A93" t="inlineStr">
        <is>
          <t>NAVER</t>
        </is>
      </c>
      <c r="B93" t="inlineStr">
        <is>
          <t>035420</t>
        </is>
      </c>
      <c r="C93" t="inlineStr">
        <is>
          <t>매출액</t>
        </is>
      </c>
      <c r="D93" t="inlineStr">
        <is>
          <t>전년 연간</t>
        </is>
      </c>
      <c r="E93" s="3" t="n">
        <v>12035007218975</v>
      </c>
      <c r="F93" t="inlineStr"/>
      <c r="I93" t="inlineStr">
        <is>
          <t>20260313001021</t>
        </is>
      </c>
      <c r="J93" s="4" t="inlineStr">
        <is>
          <t>열기</t>
        </is>
      </c>
    </row>
    <row r="94">
      <c r="A94" t="inlineStr">
        <is>
          <t>NAVER</t>
        </is>
      </c>
      <c r="B94" t="inlineStr">
        <is>
          <t>035420</t>
        </is>
      </c>
      <c r="C94" t="inlineStr">
        <is>
          <t>매출액</t>
        </is>
      </c>
      <c r="D94" t="inlineStr">
        <is>
          <t>전년 동기 YTD</t>
        </is>
      </c>
      <c r="E94" s="3" t="n">
        <v>5701868408120</v>
      </c>
      <c r="F94" t="inlineStr"/>
      <c r="I94" t="inlineStr">
        <is>
          <t>20250814002281</t>
        </is>
      </c>
      <c r="J94" s="4" t="inlineStr">
        <is>
          <t>열기</t>
        </is>
      </c>
    </row>
    <row r="95">
      <c r="A95" t="inlineStr">
        <is>
          <t>NAVER</t>
        </is>
      </c>
      <c r="B95" t="inlineStr">
        <is>
          <t>035420</t>
        </is>
      </c>
      <c r="C95" t="inlineStr">
        <is>
          <t>매출총이익</t>
        </is>
      </c>
      <c r="D95" t="inlineStr">
        <is>
          <t>당기 YTD</t>
        </is>
      </c>
      <c r="E95" s="3" t="n"/>
      <c r="F95" t="inlineStr">
        <is>
          <t>none</t>
        </is>
      </c>
      <c r="I95" t="inlineStr">
        <is>
          <t>20260814002266</t>
        </is>
      </c>
      <c r="J95" s="4" t="inlineStr">
        <is>
          <t>열기</t>
        </is>
      </c>
    </row>
    <row r="96">
      <c r="A96" t="inlineStr">
        <is>
          <t>NAVER</t>
        </is>
      </c>
      <c r="B96" t="inlineStr">
        <is>
          <t>035420</t>
        </is>
      </c>
      <c r="C96" t="inlineStr">
        <is>
          <t>매출총이익</t>
        </is>
      </c>
      <c r="D96" t="inlineStr">
        <is>
          <t>전년 연간</t>
        </is>
      </c>
      <c r="E96" s="3" t="n"/>
      <c r="F96" t="inlineStr"/>
      <c r="I96" t="inlineStr">
        <is>
          <t>20260313001021</t>
        </is>
      </c>
      <c r="J96" s="4" t="inlineStr">
        <is>
          <t>열기</t>
        </is>
      </c>
    </row>
    <row r="97">
      <c r="A97" t="inlineStr">
        <is>
          <t>NAVER</t>
        </is>
      </c>
      <c r="B97" t="inlineStr">
        <is>
          <t>035420</t>
        </is>
      </c>
      <c r="C97" t="inlineStr">
        <is>
          <t>매출총이익</t>
        </is>
      </c>
      <c r="D97" t="inlineStr">
        <is>
          <t>전년 동기 YTD</t>
        </is>
      </c>
      <c r="E97" s="3" t="n"/>
      <c r="F97" t="inlineStr"/>
      <c r="I97" t="inlineStr">
        <is>
          <t>20250814002281</t>
        </is>
      </c>
      <c r="J97" s="4" t="inlineStr">
        <is>
          <t>열기</t>
        </is>
      </c>
    </row>
    <row r="98">
      <c r="A98" t="inlineStr">
        <is>
          <t>NAVER</t>
        </is>
      </c>
      <c r="B98" t="inlineStr">
        <is>
          <t>035420</t>
        </is>
      </c>
      <c r="C98" t="inlineStr">
        <is>
          <t>영업이익</t>
        </is>
      </c>
      <c r="D98" t="inlineStr">
        <is>
          <t>당기 YTD</t>
        </is>
      </c>
      <c r="E98" s="3" t="n">
        <v>1062066552592</v>
      </c>
      <c r="F98" t="inlineStr">
        <is>
          <t>id</t>
        </is>
      </c>
      <c r="G98" t="inlineStr">
        <is>
          <t>dart_OperatingIncomeLoss</t>
        </is>
      </c>
      <c r="H98" t="inlineStr">
        <is>
          <t>영업이익</t>
        </is>
      </c>
      <c r="I98" t="inlineStr">
        <is>
          <t>20260814002266</t>
        </is>
      </c>
      <c r="J98" s="4" t="inlineStr">
        <is>
          <t>열기</t>
        </is>
      </c>
    </row>
    <row r="99">
      <c r="A99" t="inlineStr">
        <is>
          <t>NAVER</t>
        </is>
      </c>
      <c r="B99" t="inlineStr">
        <is>
          <t>035420</t>
        </is>
      </c>
      <c r="C99" t="inlineStr">
        <is>
          <t>영업이익</t>
        </is>
      </c>
      <c r="D99" t="inlineStr">
        <is>
          <t>전년 연간</t>
        </is>
      </c>
      <c r="E99" s="3" t="n">
        <v>2208138388720</v>
      </c>
      <c r="F99" t="inlineStr"/>
      <c r="I99" t="inlineStr">
        <is>
          <t>20260313001021</t>
        </is>
      </c>
      <c r="J99" s="4" t="inlineStr">
        <is>
          <t>열기</t>
        </is>
      </c>
    </row>
    <row r="100">
      <c r="A100" t="inlineStr">
        <is>
          <t>NAVER</t>
        </is>
      </c>
      <c r="B100" t="inlineStr">
        <is>
          <t>035420</t>
        </is>
      </c>
      <c r="C100" t="inlineStr">
        <is>
          <t>영업이익</t>
        </is>
      </c>
      <c r="D100" t="inlineStr">
        <is>
          <t>전년 동기 YTD</t>
        </is>
      </c>
      <c r="E100" s="3" t="n">
        <v>1026855081011</v>
      </c>
      <c r="F100" t="inlineStr"/>
      <c r="I100" t="inlineStr">
        <is>
          <t>20250814002281</t>
        </is>
      </c>
      <c r="J100" s="4" t="inlineStr">
        <is>
          <t>열기</t>
        </is>
      </c>
    </row>
    <row r="101">
      <c r="A101" t="inlineStr">
        <is>
          <t>NAVER</t>
        </is>
      </c>
      <c r="B101" t="inlineStr">
        <is>
          <t>035420</t>
        </is>
      </c>
      <c r="C101" t="inlineStr">
        <is>
          <t>영업현금흐름</t>
        </is>
      </c>
      <c r="D101" t="inlineStr">
        <is>
          <t>당기 YTD</t>
        </is>
      </c>
      <c r="E101" s="3" t="n">
        <v>1186557718996</v>
      </c>
      <c r="F101" t="inlineStr">
        <is>
          <t>id</t>
        </is>
      </c>
      <c r="G101" t="inlineStr">
        <is>
          <t>ifrs-full_CashFlowsFromUsedInOperatingActivities</t>
        </is>
      </c>
      <c r="H101" t="inlineStr">
        <is>
          <t>영업활동현금흐름</t>
        </is>
      </c>
      <c r="I101" t="inlineStr">
        <is>
          <t>20260814002266</t>
        </is>
      </c>
      <c r="J101" s="4" t="inlineStr">
        <is>
          <t>열기</t>
        </is>
      </c>
    </row>
    <row r="102">
      <c r="A102" t="inlineStr">
        <is>
          <t>NAVER</t>
        </is>
      </c>
      <c r="B102" t="inlineStr">
        <is>
          <t>035420</t>
        </is>
      </c>
      <c r="C102" t="inlineStr">
        <is>
          <t>영업현금흐름</t>
        </is>
      </c>
      <c r="D102" t="inlineStr">
        <is>
          <t>전년 연간</t>
        </is>
      </c>
      <c r="E102" s="3" t="n">
        <v>3095806604677</v>
      </c>
      <c r="F102" t="inlineStr"/>
      <c r="I102" t="inlineStr">
        <is>
          <t>20260313001021</t>
        </is>
      </c>
      <c r="J102" s="4" t="inlineStr">
        <is>
          <t>열기</t>
        </is>
      </c>
    </row>
    <row r="103">
      <c r="A103" t="inlineStr">
        <is>
          <t>NAVER</t>
        </is>
      </c>
      <c r="B103" t="inlineStr">
        <is>
          <t>035420</t>
        </is>
      </c>
      <c r="C103" t="inlineStr">
        <is>
          <t>영업현금흐름</t>
        </is>
      </c>
      <c r="D103" t="inlineStr">
        <is>
          <t>전년 동기 YTD</t>
        </is>
      </c>
      <c r="E103" s="3" t="n">
        <v>1124942340048</v>
      </c>
      <c r="F103" t="inlineStr"/>
      <c r="I103" t="inlineStr">
        <is>
          <t>20250814002281</t>
        </is>
      </c>
      <c r="J103" s="4" t="inlineStr">
        <is>
          <t>열기</t>
        </is>
      </c>
    </row>
    <row r="104">
      <c r="A104" t="inlineStr">
        <is>
          <t>NAVER</t>
        </is>
      </c>
      <c r="B104" t="inlineStr">
        <is>
          <t>035420</t>
        </is>
      </c>
      <c r="C104" t="inlineStr">
        <is>
          <t>지배주주자본</t>
        </is>
      </c>
      <c r="D104" t="inlineStr">
        <is>
          <t>당기말</t>
        </is>
      </c>
      <c r="E104" s="3" t="n">
        <v>29539564060069</v>
      </c>
      <c r="F104" t="inlineStr">
        <is>
          <t>id</t>
        </is>
      </c>
      <c r="G104" t="inlineStr">
        <is>
          <t>ifrs-full_EquityAttributableToOwnersOfParent</t>
        </is>
      </c>
      <c r="H104" t="inlineStr">
        <is>
          <t>지배기업 소유주지분</t>
        </is>
      </c>
      <c r="I104" t="inlineStr">
        <is>
          <t>20260814002266</t>
        </is>
      </c>
      <c r="J104" s="4" t="inlineStr">
        <is>
          <t>열기</t>
        </is>
      </c>
    </row>
    <row r="105">
      <c r="A105" t="inlineStr">
        <is>
          <t>NAVER</t>
        </is>
      </c>
      <c r="B105" t="inlineStr">
        <is>
          <t>035420</t>
        </is>
      </c>
      <c r="C105" t="inlineStr">
        <is>
          <t>지배주주자본</t>
        </is>
      </c>
      <c r="D105" t="inlineStr">
        <is>
          <t>전년 동기말</t>
        </is>
      </c>
      <c r="E105" s="3" t="n">
        <v>26401621734922</v>
      </c>
      <c r="F105" t="inlineStr"/>
      <c r="I105" t="inlineStr">
        <is>
          <t>20250814002281</t>
        </is>
      </c>
      <c r="J105" s="4" t="inlineStr">
        <is>
          <t>열기</t>
        </is>
      </c>
    </row>
    <row r="106">
      <c r="A106" t="inlineStr">
        <is>
          <t>NAVER</t>
        </is>
      </c>
      <c r="B106" t="inlineStr">
        <is>
          <t>035420</t>
        </is>
      </c>
      <c r="C106" t="inlineStr">
        <is>
          <t>자산총계</t>
        </is>
      </c>
      <c r="D106" t="inlineStr">
        <is>
          <t>당기말</t>
        </is>
      </c>
      <c r="E106" s="3" t="n">
        <v>44656683622468</v>
      </c>
      <c r="F106" t="inlineStr">
        <is>
          <t>id</t>
        </is>
      </c>
      <c r="G106" t="inlineStr">
        <is>
          <t>ifrs-full_Assets</t>
        </is>
      </c>
      <c r="H106" t="inlineStr">
        <is>
          <t>자산총계</t>
        </is>
      </c>
      <c r="I106" t="inlineStr">
        <is>
          <t>20260814002266</t>
        </is>
      </c>
      <c r="J106" s="4" t="inlineStr">
        <is>
          <t>열기</t>
        </is>
      </c>
    </row>
    <row r="107">
      <c r="A107" t="inlineStr">
        <is>
          <t>NAVER</t>
        </is>
      </c>
      <c r="B107" t="inlineStr">
        <is>
          <t>035420</t>
        </is>
      </c>
      <c r="C107" t="inlineStr">
        <is>
          <t>자산총계</t>
        </is>
      </c>
      <c r="D107" t="inlineStr">
        <is>
          <t>전년 동기말</t>
        </is>
      </c>
      <c r="E107" s="3" t="n">
        <v>39351060803109</v>
      </c>
      <c r="F107" t="inlineStr"/>
      <c r="I107" t="inlineStr">
        <is>
          <t>20250814002281</t>
        </is>
      </c>
      <c r="J107" s="4" t="inlineStr">
        <is>
          <t>열기</t>
        </is>
      </c>
    </row>
    <row r="108">
      <c r="A108" t="inlineStr">
        <is>
          <t>NAVER</t>
        </is>
      </c>
      <c r="B108" t="inlineStr">
        <is>
          <t>035420</t>
        </is>
      </c>
      <c r="C108" t="inlineStr">
        <is>
          <t>이자부부채</t>
        </is>
      </c>
      <c r="D108" t="inlineStr">
        <is>
          <t>당기말</t>
        </is>
      </c>
      <c r="E108" s="3" t="n">
        <v>4894705557970</v>
      </c>
      <c r="F108" t="inlineStr">
        <is>
          <t>id</t>
        </is>
      </c>
      <c r="G108" t="inlineStr">
        <is>
          <t>ifrs-full_CurrentLeaseLiabilities + ifrs-full_ShorttermBorrowings + ifrs-full_NoncurrentLeaseLiabilities + ifrs-full_NoncurrentPortionOfNoncurrentBondsIssued + ifrs-full_NoncurrentPortionOfNoncurrentLoansReceived</t>
        </is>
      </c>
      <c r="H108" t="inlineStr">
        <is>
          <t>리스부채 + 단기차입금 + 리스부채 + 사채 + 장기차입금</t>
        </is>
      </c>
      <c r="I108" t="inlineStr">
        <is>
          <t>20260814002266</t>
        </is>
      </c>
      <c r="J108" s="4" t="inlineStr">
        <is>
          <t>열기</t>
        </is>
      </c>
    </row>
    <row r="109">
      <c r="A109" t="inlineStr">
        <is>
          <t>NAVER</t>
        </is>
      </c>
      <c r="B109" t="inlineStr">
        <is>
          <t>035420</t>
        </is>
      </c>
      <c r="C109" t="inlineStr">
        <is>
          <t>이자부부채</t>
        </is>
      </c>
      <c r="D109" t="inlineStr">
        <is>
          <t>전년 동기말</t>
        </is>
      </c>
      <c r="E109" s="3" t="n">
        <v>2376064886149</v>
      </c>
      <c r="F109" t="inlineStr"/>
      <c r="I109" t="inlineStr">
        <is>
          <t>20250814002281</t>
        </is>
      </c>
      <c r="J109" s="4" t="inlineStr">
        <is>
          <t>열기</t>
        </is>
      </c>
    </row>
    <row r="110">
      <c r="A110" t="inlineStr">
        <is>
          <t>NAVER</t>
        </is>
      </c>
      <c r="B110" t="inlineStr">
        <is>
          <t>035420</t>
        </is>
      </c>
      <c r="C110" t="inlineStr">
        <is>
          <t>현금성자산</t>
        </is>
      </c>
      <c r="D110" t="inlineStr">
        <is>
          <t>당기말</t>
        </is>
      </c>
      <c r="E110" s="3" t="n">
        <v>6384369789988</v>
      </c>
      <c r="F110" t="inlineStr">
        <is>
          <t>id</t>
        </is>
      </c>
      <c r="G110" t="inlineStr">
        <is>
          <t>ifrs-full_CashAndCashEquivalents</t>
        </is>
      </c>
      <c r="H110" t="inlineStr">
        <is>
          <t>현금및현금성자산</t>
        </is>
      </c>
      <c r="I110" t="inlineStr">
        <is>
          <t>20260814002266</t>
        </is>
      </c>
      <c r="J110" s="4" t="inlineStr">
        <is>
          <t>열기</t>
        </is>
      </c>
    </row>
    <row r="111">
      <c r="A111" t="inlineStr">
        <is>
          <t>NAVER</t>
        </is>
      </c>
      <c r="B111" t="inlineStr">
        <is>
          <t>035420</t>
        </is>
      </c>
      <c r="C111" t="inlineStr">
        <is>
          <t>현금성자산</t>
        </is>
      </c>
      <c r="D111" t="inlineStr">
        <is>
          <t>전년 동기말</t>
        </is>
      </c>
      <c r="E111" s="3" t="n">
        <v>4871303504081</v>
      </c>
      <c r="F111" t="inlineStr"/>
      <c r="I111" t="inlineStr">
        <is>
          <t>20250814002281</t>
        </is>
      </c>
      <c r="J111" s="4" t="inlineStr">
        <is>
          <t>열기</t>
        </is>
      </c>
    </row>
    <row r="112">
      <c r="A112" t="inlineStr">
        <is>
          <t>NAVER</t>
        </is>
      </c>
      <c r="B112" t="inlineStr">
        <is>
          <t>035420</t>
        </is>
      </c>
      <c r="C112" t="inlineStr">
        <is>
          <t>단기금융상품</t>
        </is>
      </c>
      <c r="D112" t="inlineStr">
        <is>
          <t>당기말</t>
        </is>
      </c>
      <c r="E112" s="3" t="n">
        <v>2017072977324</v>
      </c>
      <c r="F112" t="inlineStr">
        <is>
          <t>id</t>
        </is>
      </c>
      <c r="G112" t="inlineStr">
        <is>
          <t>ifrs-full_ShorttermDepositsNotClassifiedAsCashEquivalents</t>
        </is>
      </c>
      <c r="H112" t="inlineStr">
        <is>
          <t>단기금융상품</t>
        </is>
      </c>
      <c r="I112" t="inlineStr">
        <is>
          <t>20260814002266</t>
        </is>
      </c>
      <c r="J112" s="4" t="inlineStr">
        <is>
          <t>열기</t>
        </is>
      </c>
    </row>
    <row r="113">
      <c r="A113" t="inlineStr">
        <is>
          <t>NAVER</t>
        </is>
      </c>
      <c r="B113" t="inlineStr">
        <is>
          <t>035420</t>
        </is>
      </c>
      <c r="C113" t="inlineStr">
        <is>
          <t>단기금융상품</t>
        </is>
      </c>
      <c r="D113" t="inlineStr">
        <is>
          <t>전년 동기말</t>
        </is>
      </c>
      <c r="E113" s="3" t="n">
        <v>2676558769142</v>
      </c>
      <c r="F113" t="inlineStr"/>
      <c r="I113" t="inlineStr">
        <is>
          <t>20250814002281</t>
        </is>
      </c>
      <c r="J113" s="4" t="inlineStr">
        <is>
          <t>열기</t>
        </is>
      </c>
    </row>
    <row r="114">
      <c r="A114" t="inlineStr">
        <is>
          <t>LG화학</t>
        </is>
      </c>
      <c r="B114" t="inlineStr">
        <is>
          <t>051910</t>
        </is>
      </c>
      <c r="C114" t="inlineStr">
        <is>
          <t>지배주주순이익</t>
        </is>
      </c>
      <c r="D114" t="inlineStr">
        <is>
          <t>당기 YTD</t>
        </is>
      </c>
      <c r="E114" s="3" t="n">
        <v>-234766000000</v>
      </c>
      <c r="F114" t="inlineStr">
        <is>
          <t>id</t>
        </is>
      </c>
      <c r="G114" t="inlineStr">
        <is>
          <t>ifrs-full_ProfitLossAttributableToOwnersOfParent</t>
        </is>
      </c>
      <c r="H114" t="inlineStr">
        <is>
          <t>지배기업의 소유주에게 귀속되는 당기순이익(손실)</t>
        </is>
      </c>
      <c r="I114" t="inlineStr">
        <is>
          <t>20260814002655</t>
        </is>
      </c>
      <c r="J114" s="4" t="inlineStr">
        <is>
          <t>열기</t>
        </is>
      </c>
    </row>
    <row r="115">
      <c r="A115" t="inlineStr">
        <is>
          <t>LG화학</t>
        </is>
      </c>
      <c r="B115" t="inlineStr">
        <is>
          <t>051910</t>
        </is>
      </c>
      <c r="C115" t="inlineStr">
        <is>
          <t>지배주주순이익</t>
        </is>
      </c>
      <c r="D115" t="inlineStr">
        <is>
          <t>전년 연간</t>
        </is>
      </c>
      <c r="E115" s="3" t="n">
        <v>-1819449000000</v>
      </c>
      <c r="F115" t="inlineStr"/>
      <c r="I115" t="inlineStr">
        <is>
          <t>20260313001195</t>
        </is>
      </c>
      <c r="J115" s="4" t="inlineStr">
        <is>
          <t>열기</t>
        </is>
      </c>
    </row>
    <row r="116">
      <c r="A116" t="inlineStr">
        <is>
          <t>LG화학</t>
        </is>
      </c>
      <c r="B116" t="inlineStr">
        <is>
          <t>051910</t>
        </is>
      </c>
      <c r="C116" t="inlineStr">
        <is>
          <t>지배주주순이익</t>
        </is>
      </c>
      <c r="D116" t="inlineStr">
        <is>
          <t>전년 동기 YTD</t>
        </is>
      </c>
      <c r="E116" s="3" t="n">
        <v>-541904000000</v>
      </c>
      <c r="F116" t="inlineStr"/>
      <c r="I116" t="inlineStr">
        <is>
          <t>20250814003066</t>
        </is>
      </c>
      <c r="J116" s="4" t="inlineStr">
        <is>
          <t>열기</t>
        </is>
      </c>
    </row>
    <row r="117">
      <c r="A117" t="inlineStr">
        <is>
          <t>LG화학</t>
        </is>
      </c>
      <c r="B117" t="inlineStr">
        <is>
          <t>051910</t>
        </is>
      </c>
      <c r="C117" t="inlineStr">
        <is>
          <t>당기순이익</t>
        </is>
      </c>
      <c r="D117" t="inlineStr">
        <is>
          <t>당기 YTD</t>
        </is>
      </c>
      <c r="E117" s="3" t="n">
        <v>-715104000000</v>
      </c>
      <c r="F117" t="inlineStr">
        <is>
          <t>id</t>
        </is>
      </c>
      <c r="G117" t="inlineStr">
        <is>
          <t>ifrs-full_ProfitLoss</t>
        </is>
      </c>
      <c r="H117" t="inlineStr">
        <is>
          <t>당기순이익(손실)</t>
        </is>
      </c>
      <c r="I117" t="inlineStr">
        <is>
          <t>20260814002655</t>
        </is>
      </c>
      <c r="J117" s="4" t="inlineStr">
        <is>
          <t>열기</t>
        </is>
      </c>
    </row>
    <row r="118">
      <c r="A118" t="inlineStr">
        <is>
          <t>LG화학</t>
        </is>
      </c>
      <c r="B118" t="inlineStr">
        <is>
          <t>051910</t>
        </is>
      </c>
      <c r="C118" t="inlineStr">
        <is>
          <t>당기순이익</t>
        </is>
      </c>
      <c r="D118" t="inlineStr">
        <is>
          <t>전년 연간</t>
        </is>
      </c>
      <c r="E118" s="3" t="n">
        <v>-977063000000</v>
      </c>
      <c r="F118" t="inlineStr"/>
      <c r="I118" t="inlineStr">
        <is>
          <t>20260313001195</t>
        </is>
      </c>
      <c r="J118" s="4" t="inlineStr">
        <is>
          <t>열기</t>
        </is>
      </c>
    </row>
    <row r="119">
      <c r="A119" t="inlineStr">
        <is>
          <t>LG화학</t>
        </is>
      </c>
      <c r="B119" t="inlineStr">
        <is>
          <t>051910</t>
        </is>
      </c>
      <c r="C119" t="inlineStr">
        <is>
          <t>당기순이익</t>
        </is>
      </c>
      <c r="D119" t="inlineStr">
        <is>
          <t>전년 동기 YTD</t>
        </is>
      </c>
      <c r="E119" s="3" t="n">
        <v>148485000000</v>
      </c>
      <c r="F119" t="inlineStr"/>
      <c r="I119" t="inlineStr">
        <is>
          <t>20250814003066</t>
        </is>
      </c>
      <c r="J119" s="4" t="inlineStr">
        <is>
          <t>열기</t>
        </is>
      </c>
    </row>
    <row r="120">
      <c r="A120" t="inlineStr">
        <is>
          <t>LG화학</t>
        </is>
      </c>
      <c r="B120" t="inlineStr">
        <is>
          <t>051910</t>
        </is>
      </c>
      <c r="C120" t="inlineStr">
        <is>
          <t>매출액</t>
        </is>
      </c>
      <c r="D120" t="inlineStr">
        <is>
          <t>당기 YTD</t>
        </is>
      </c>
      <c r="E120" s="3" t="n">
        <v>26422690000000</v>
      </c>
      <c r="F120" t="inlineStr">
        <is>
          <t>id</t>
        </is>
      </c>
      <c r="G120" t="inlineStr">
        <is>
          <t>ifrs-full_Revenue</t>
        </is>
      </c>
      <c r="H120" t="inlineStr">
        <is>
          <t>매출</t>
        </is>
      </c>
      <c r="I120" t="inlineStr">
        <is>
          <t>20260814002655</t>
        </is>
      </c>
      <c r="J120" s="4" t="inlineStr">
        <is>
          <t>열기</t>
        </is>
      </c>
    </row>
    <row r="121">
      <c r="A121" t="inlineStr">
        <is>
          <t>LG화학</t>
        </is>
      </c>
      <c r="B121" t="inlineStr">
        <is>
          <t>051910</t>
        </is>
      </c>
      <c r="C121" t="inlineStr">
        <is>
          <t>매출액</t>
        </is>
      </c>
      <c r="D121" t="inlineStr">
        <is>
          <t>전년 연간</t>
        </is>
      </c>
      <c r="E121" s="3" t="n">
        <v>45932167000000</v>
      </c>
      <c r="F121" t="inlineStr"/>
      <c r="I121" t="inlineStr">
        <is>
          <t>20260313001195</t>
        </is>
      </c>
      <c r="J121" s="4" t="inlineStr">
        <is>
          <t>열기</t>
        </is>
      </c>
    </row>
    <row r="122">
      <c r="A122" t="inlineStr">
        <is>
          <t>LG화학</t>
        </is>
      </c>
      <c r="B122" t="inlineStr">
        <is>
          <t>051910</t>
        </is>
      </c>
      <c r="C122" t="inlineStr">
        <is>
          <t>매출액</t>
        </is>
      </c>
      <c r="D122" t="inlineStr">
        <is>
          <t>전년 동기 YTD</t>
        </is>
      </c>
      <c r="E122" s="3" t="n">
        <v>23538863000000</v>
      </c>
      <c r="F122" t="inlineStr"/>
      <c r="I122" t="inlineStr">
        <is>
          <t>20250814003066</t>
        </is>
      </c>
      <c r="J122" s="4" t="inlineStr">
        <is>
          <t>열기</t>
        </is>
      </c>
    </row>
    <row r="123">
      <c r="A123" t="inlineStr">
        <is>
          <t>LG화학</t>
        </is>
      </c>
      <c r="B123" t="inlineStr">
        <is>
          <t>051910</t>
        </is>
      </c>
      <c r="C123" t="inlineStr">
        <is>
          <t>매출총이익</t>
        </is>
      </c>
      <c r="D123" t="inlineStr">
        <is>
          <t>당기 YTD</t>
        </is>
      </c>
      <c r="E123" s="3" t="n">
        <v>5310720000000</v>
      </c>
      <c r="F123" t="inlineStr">
        <is>
          <t>id</t>
        </is>
      </c>
      <c r="G123" t="inlineStr">
        <is>
          <t>ifrs-full_GrossProfit</t>
        </is>
      </c>
      <c r="H123" t="inlineStr">
        <is>
          <t>매출총이익</t>
        </is>
      </c>
      <c r="I123" t="inlineStr">
        <is>
          <t>20260814002655</t>
        </is>
      </c>
      <c r="J123" s="4" t="inlineStr">
        <is>
          <t>열기</t>
        </is>
      </c>
    </row>
    <row r="124">
      <c r="A124" t="inlineStr">
        <is>
          <t>LG화학</t>
        </is>
      </c>
      <c r="B124" t="inlineStr">
        <is>
          <t>051910</t>
        </is>
      </c>
      <c r="C124" t="inlineStr">
        <is>
          <t>매출총이익</t>
        </is>
      </c>
      <c r="D124" t="inlineStr">
        <is>
          <t>전년 연간</t>
        </is>
      </c>
      <c r="E124" s="3" t="n">
        <v>7809460000000</v>
      </c>
      <c r="F124" t="inlineStr"/>
      <c r="I124" t="inlineStr">
        <is>
          <t>20260313001195</t>
        </is>
      </c>
      <c r="J124" s="4" t="inlineStr">
        <is>
          <t>열기</t>
        </is>
      </c>
    </row>
    <row r="125">
      <c r="A125" t="inlineStr">
        <is>
          <t>LG화학</t>
        </is>
      </c>
      <c r="B125" t="inlineStr">
        <is>
          <t>051910</t>
        </is>
      </c>
      <c r="C125" t="inlineStr">
        <is>
          <t>매출총이익</t>
        </is>
      </c>
      <c r="D125" t="inlineStr">
        <is>
          <t>전년 동기 YTD</t>
        </is>
      </c>
      <c r="E125" s="3" t="n">
        <v>3920184000000</v>
      </c>
      <c r="F125" t="inlineStr"/>
      <c r="I125" t="inlineStr">
        <is>
          <t>20250814003066</t>
        </is>
      </c>
      <c r="J125" s="4" t="inlineStr">
        <is>
          <t>열기</t>
        </is>
      </c>
    </row>
    <row r="126">
      <c r="A126" t="inlineStr">
        <is>
          <t>LG화학</t>
        </is>
      </c>
      <c r="B126" t="inlineStr">
        <is>
          <t>051910</t>
        </is>
      </c>
      <c r="C126" t="inlineStr">
        <is>
          <t>영업이익</t>
        </is>
      </c>
      <c r="D126" t="inlineStr">
        <is>
          <t>당기 YTD</t>
        </is>
      </c>
      <c r="E126" s="3" t="n">
        <v>549897000000</v>
      </c>
      <c r="F126" t="inlineStr">
        <is>
          <t>id</t>
        </is>
      </c>
      <c r="G126" t="inlineStr">
        <is>
          <t>dart_OperatingIncomeLoss</t>
        </is>
      </c>
      <c r="H126" t="inlineStr">
        <is>
          <t>영업이익(손실)</t>
        </is>
      </c>
      <c r="I126" t="inlineStr">
        <is>
          <t>20260814002655</t>
        </is>
      </c>
      <c r="J126" s="4" t="inlineStr">
        <is>
          <t>열기</t>
        </is>
      </c>
    </row>
    <row r="127">
      <c r="A127" t="inlineStr">
        <is>
          <t>LG화학</t>
        </is>
      </c>
      <c r="B127" t="inlineStr">
        <is>
          <t>051910</t>
        </is>
      </c>
      <c r="C127" t="inlineStr">
        <is>
          <t>영업이익</t>
        </is>
      </c>
      <c r="D127" t="inlineStr">
        <is>
          <t>전년 연간</t>
        </is>
      </c>
      <c r="E127" s="3" t="n">
        <v>1180900000000</v>
      </c>
      <c r="F127" t="inlineStr"/>
      <c r="I127" t="inlineStr">
        <is>
          <t>20260313001195</t>
        </is>
      </c>
      <c r="J127" s="4" t="inlineStr">
        <is>
          <t>열기</t>
        </is>
      </c>
    </row>
    <row r="128">
      <c r="A128" t="inlineStr">
        <is>
          <t>LG화학</t>
        </is>
      </c>
      <c r="B128" t="inlineStr">
        <is>
          <t>051910</t>
        </is>
      </c>
      <c r="C128" t="inlineStr">
        <is>
          <t>영업이익</t>
        </is>
      </c>
      <c r="D128" t="inlineStr">
        <is>
          <t>전년 동기 YTD</t>
        </is>
      </c>
      <c r="E128" s="3" t="n">
        <v>914450000000</v>
      </c>
      <c r="F128" t="inlineStr"/>
      <c r="I128" t="inlineStr">
        <is>
          <t>20250814003066</t>
        </is>
      </c>
      <c r="J128" s="4" t="inlineStr">
        <is>
          <t>열기</t>
        </is>
      </c>
    </row>
    <row r="129">
      <c r="A129" t="inlineStr">
        <is>
          <t>LG화학</t>
        </is>
      </c>
      <c r="B129" t="inlineStr">
        <is>
          <t>051910</t>
        </is>
      </c>
      <c r="C129" t="inlineStr">
        <is>
          <t>영업현금흐름</t>
        </is>
      </c>
      <c r="D129" t="inlineStr">
        <is>
          <t>당기 YTD</t>
        </is>
      </c>
      <c r="E129" s="3" t="n">
        <v>1167798000000</v>
      </c>
      <c r="F129" t="inlineStr">
        <is>
          <t>id</t>
        </is>
      </c>
      <c r="G129" t="inlineStr">
        <is>
          <t>ifrs-full_CashFlowsFromUsedInOperatingActivities</t>
        </is>
      </c>
      <c r="H129" t="inlineStr">
        <is>
          <t>영업활동현금흐름</t>
        </is>
      </c>
      <c r="I129" t="inlineStr">
        <is>
          <t>20260814002655</t>
        </is>
      </c>
      <c r="J129" s="4" t="inlineStr">
        <is>
          <t>열기</t>
        </is>
      </c>
    </row>
    <row r="130">
      <c r="A130" t="inlineStr">
        <is>
          <t>LG화학</t>
        </is>
      </c>
      <c r="B130" t="inlineStr">
        <is>
          <t>051910</t>
        </is>
      </c>
      <c r="C130" t="inlineStr">
        <is>
          <t>영업현금흐름</t>
        </is>
      </c>
      <c r="D130" t="inlineStr">
        <is>
          <t>전년 연간</t>
        </is>
      </c>
      <c r="E130" s="3" t="n">
        <v>8233859000000</v>
      </c>
      <c r="F130" t="inlineStr"/>
      <c r="I130" t="inlineStr">
        <is>
          <t>20260313001195</t>
        </is>
      </c>
      <c r="J130" s="4" t="inlineStr">
        <is>
          <t>열기</t>
        </is>
      </c>
    </row>
    <row r="131">
      <c r="A131" t="inlineStr">
        <is>
          <t>LG화학</t>
        </is>
      </c>
      <c r="B131" t="inlineStr">
        <is>
          <t>051910</t>
        </is>
      </c>
      <c r="C131" t="inlineStr">
        <is>
          <t>영업현금흐름</t>
        </is>
      </c>
      <c r="D131" t="inlineStr">
        <is>
          <t>전년 동기 YTD</t>
        </is>
      </c>
      <c r="E131" s="3" t="n">
        <v>3229502000000</v>
      </c>
      <c r="F131" t="inlineStr"/>
      <c r="I131" t="inlineStr">
        <is>
          <t>20250814003066</t>
        </is>
      </c>
      <c r="J131" s="4" t="inlineStr">
        <is>
          <t>열기</t>
        </is>
      </c>
    </row>
    <row r="132">
      <c r="A132" t="inlineStr">
        <is>
          <t>LG화학</t>
        </is>
      </c>
      <c r="B132" t="inlineStr">
        <is>
          <t>051910</t>
        </is>
      </c>
      <c r="C132" t="inlineStr">
        <is>
          <t>지배주주자본</t>
        </is>
      </c>
      <c r="D132" t="inlineStr">
        <is>
          <t>당기말</t>
        </is>
      </c>
      <c r="E132" s="3" t="n">
        <v>35430227000000</v>
      </c>
      <c r="F132" t="inlineStr">
        <is>
          <t>id</t>
        </is>
      </c>
      <c r="G132" t="inlineStr">
        <is>
          <t>ifrs-full_EquityAttributableToOwnersOfParent</t>
        </is>
      </c>
      <c r="H132" t="inlineStr">
        <is>
          <t>지배기업의 소유주에게 귀속되는 자본</t>
        </is>
      </c>
      <c r="I132" t="inlineStr">
        <is>
          <t>20260814002655</t>
        </is>
      </c>
      <c r="J132" s="4" t="inlineStr">
        <is>
          <t>열기</t>
        </is>
      </c>
    </row>
    <row r="133">
      <c r="A133" t="inlineStr">
        <is>
          <t>LG화학</t>
        </is>
      </c>
      <c r="B133" t="inlineStr">
        <is>
          <t>051910</t>
        </is>
      </c>
      <c r="C133" t="inlineStr">
        <is>
          <t>지배주주자본</t>
        </is>
      </c>
      <c r="D133" t="inlineStr">
        <is>
          <t>전년 동기말</t>
        </is>
      </c>
      <c r="E133" s="3" t="n">
        <v>31447235000000</v>
      </c>
      <c r="F133" t="inlineStr"/>
      <c r="I133" t="inlineStr">
        <is>
          <t>20250814003066</t>
        </is>
      </c>
      <c r="J133" s="4" t="inlineStr">
        <is>
          <t>열기</t>
        </is>
      </c>
    </row>
    <row r="134">
      <c r="A134" t="inlineStr">
        <is>
          <t>LG화학</t>
        </is>
      </c>
      <c r="B134" t="inlineStr">
        <is>
          <t>051910</t>
        </is>
      </c>
      <c r="C134" t="inlineStr">
        <is>
          <t>자산총계</t>
        </is>
      </c>
      <c r="D134" t="inlineStr">
        <is>
          <t>당기말</t>
        </is>
      </c>
      <c r="E134" s="3" t="n">
        <v>112209782000000</v>
      </c>
      <c r="F134" t="inlineStr">
        <is>
          <t>id</t>
        </is>
      </c>
      <c r="G134" t="inlineStr">
        <is>
          <t>ifrs-full_Assets</t>
        </is>
      </c>
      <c r="H134" t="inlineStr">
        <is>
          <t>자산총계</t>
        </is>
      </c>
      <c r="I134" t="inlineStr">
        <is>
          <t>20260814002655</t>
        </is>
      </c>
      <c r="J134" s="4" t="inlineStr">
        <is>
          <t>열기</t>
        </is>
      </c>
    </row>
    <row r="135">
      <c r="A135" t="inlineStr">
        <is>
          <t>LG화학</t>
        </is>
      </c>
      <c r="B135" t="inlineStr">
        <is>
          <t>051910</t>
        </is>
      </c>
      <c r="C135" t="inlineStr">
        <is>
          <t>자산총계</t>
        </is>
      </c>
      <c r="D135" t="inlineStr">
        <is>
          <t>전년 동기말</t>
        </is>
      </c>
      <c r="E135" s="3" t="n">
        <v>93952004000000</v>
      </c>
      <c r="F135" t="inlineStr"/>
      <c r="I135" t="inlineStr">
        <is>
          <t>20250814003066</t>
        </is>
      </c>
      <c r="J135" s="4" t="inlineStr">
        <is>
          <t>열기</t>
        </is>
      </c>
    </row>
    <row r="136">
      <c r="A136" t="inlineStr">
        <is>
          <t>LG화학</t>
        </is>
      </c>
      <c r="B136" t="inlineStr">
        <is>
          <t>051910</t>
        </is>
      </c>
      <c r="C136" t="inlineStr">
        <is>
          <t>이자부부채</t>
        </is>
      </c>
      <c r="D136" t="inlineStr">
        <is>
          <t>당기말</t>
        </is>
      </c>
      <c r="E136" s="3" t="n">
        <v>40289225000000</v>
      </c>
      <c r="F136" t="inlineStr">
        <is>
          <t>id</t>
        </is>
      </c>
      <c r="G136" t="inlineStr">
        <is>
          <t>ifrs-full_CurrentBorrowingsAndCurrentPortionOfNoncurrentBorrowings + ifrs-full_LongtermBorrowings</t>
        </is>
      </c>
      <c r="H136" t="inlineStr">
        <is>
          <t>차입금 + 차입금</t>
        </is>
      </c>
      <c r="I136" t="inlineStr">
        <is>
          <t>20260814002655</t>
        </is>
      </c>
      <c r="J136" s="4" t="inlineStr">
        <is>
          <t>열기</t>
        </is>
      </c>
    </row>
    <row r="137">
      <c r="A137" t="inlineStr">
        <is>
          <t>LG화학</t>
        </is>
      </c>
      <c r="B137" t="inlineStr">
        <is>
          <t>051910</t>
        </is>
      </c>
      <c r="C137" t="inlineStr">
        <is>
          <t>이자부부채</t>
        </is>
      </c>
      <c r="D137" t="inlineStr">
        <is>
          <t>전년 동기말</t>
        </is>
      </c>
      <c r="E137" s="3" t="n">
        <v>31797555000000</v>
      </c>
      <c r="F137" t="inlineStr"/>
      <c r="I137" t="inlineStr">
        <is>
          <t>20250814003066</t>
        </is>
      </c>
      <c r="J137" s="4" t="inlineStr">
        <is>
          <t>열기</t>
        </is>
      </c>
    </row>
    <row r="138">
      <c r="A138" t="inlineStr">
        <is>
          <t>LG화학</t>
        </is>
      </c>
      <c r="B138" t="inlineStr">
        <is>
          <t>051910</t>
        </is>
      </c>
      <c r="C138" t="inlineStr">
        <is>
          <t>현금성자산</t>
        </is>
      </c>
      <c r="D138" t="inlineStr">
        <is>
          <t>당기말</t>
        </is>
      </c>
      <c r="E138" s="3" t="n">
        <v>11086639000000</v>
      </c>
      <c r="F138" t="inlineStr">
        <is>
          <t>id</t>
        </is>
      </c>
      <c r="G138" t="inlineStr">
        <is>
          <t>ifrs-full_CashAndCashEquivalents</t>
        </is>
      </c>
      <c r="H138" t="inlineStr">
        <is>
          <t>현금및현금성자산</t>
        </is>
      </c>
      <c r="I138" t="inlineStr">
        <is>
          <t>20260814002655</t>
        </is>
      </c>
      <c r="J138" s="4" t="inlineStr">
        <is>
          <t>열기</t>
        </is>
      </c>
    </row>
    <row r="139">
      <c r="A139" t="inlineStr">
        <is>
          <t>LG화학</t>
        </is>
      </c>
      <c r="B139" t="inlineStr">
        <is>
          <t>051910</t>
        </is>
      </c>
      <c r="C139" t="inlineStr">
        <is>
          <t>현금성자산</t>
        </is>
      </c>
      <c r="D139" t="inlineStr">
        <is>
          <t>전년 동기말</t>
        </is>
      </c>
      <c r="E139" s="3" t="n">
        <v>8382552000000</v>
      </c>
      <c r="F139" t="inlineStr"/>
      <c r="I139" t="inlineStr">
        <is>
          <t>20250814003066</t>
        </is>
      </c>
      <c r="J139" s="4" t="inlineStr">
        <is>
          <t>열기</t>
        </is>
      </c>
    </row>
    <row r="140">
      <c r="A140" t="inlineStr">
        <is>
          <t>LG화학</t>
        </is>
      </c>
      <c r="B140" t="inlineStr">
        <is>
          <t>051910</t>
        </is>
      </c>
      <c r="C140" t="inlineStr">
        <is>
          <t>단기금융상품</t>
        </is>
      </c>
      <c r="D140" t="inlineStr">
        <is>
          <t>당기말</t>
        </is>
      </c>
      <c r="E140" s="3" t="n">
        <v>0</v>
      </c>
      <c r="F140" t="inlineStr">
        <is>
          <t>zero_default</t>
        </is>
      </c>
      <c r="I140" t="inlineStr">
        <is>
          <t>20260814002655</t>
        </is>
      </c>
      <c r="J140" s="4" t="inlineStr">
        <is>
          <t>열기</t>
        </is>
      </c>
    </row>
    <row r="141">
      <c r="A141" t="inlineStr">
        <is>
          <t>LG화학</t>
        </is>
      </c>
      <c r="B141" t="inlineStr">
        <is>
          <t>051910</t>
        </is>
      </c>
      <c r="C141" t="inlineStr">
        <is>
          <t>단기금융상품</t>
        </is>
      </c>
      <c r="D141" t="inlineStr">
        <is>
          <t>전년 동기말</t>
        </is>
      </c>
      <c r="E141" s="3" t="n">
        <v>0</v>
      </c>
      <c r="F141" t="inlineStr"/>
      <c r="I141" t="inlineStr">
        <is>
          <t>20250814003066</t>
        </is>
      </c>
      <c r="J141" s="4" t="inlineStr">
        <is>
          <t>열기</t>
        </is>
      </c>
    </row>
    <row r="142">
      <c r="A142" t="inlineStr">
        <is>
          <t>카카오</t>
        </is>
      </c>
      <c r="B142" t="inlineStr">
        <is>
          <t>035720</t>
        </is>
      </c>
      <c r="C142" t="inlineStr">
        <is>
          <t>지배주주순이익</t>
        </is>
      </c>
      <c r="D142" t="inlineStr">
        <is>
          <t>당기 YTD</t>
        </is>
      </c>
      <c r="E142" s="3" t="n">
        <v>188028656200</v>
      </c>
      <c r="F142" t="inlineStr">
        <is>
          <t>id</t>
        </is>
      </c>
      <c r="G142" t="inlineStr">
        <is>
          <t>ifrs-full_ProfitLossAttributableToOwnersOfParent</t>
        </is>
      </c>
      <c r="H142" t="inlineStr">
        <is>
          <t>지배기업 소유주지분</t>
        </is>
      </c>
      <c r="I142" t="inlineStr">
        <is>
          <t>20260819000055</t>
        </is>
      </c>
      <c r="J142" s="4" t="inlineStr">
        <is>
          <t>열기</t>
        </is>
      </c>
    </row>
    <row r="143">
      <c r="A143" t="inlineStr">
        <is>
          <t>카카오</t>
        </is>
      </c>
      <c r="B143" t="inlineStr">
        <is>
          <t>035720</t>
        </is>
      </c>
      <c r="C143" t="inlineStr">
        <is>
          <t>지배주주순이익</t>
        </is>
      </c>
      <c r="D143" t="inlineStr">
        <is>
          <t>전년 연간</t>
        </is>
      </c>
      <c r="E143" s="3" t="n">
        <v>491491558183</v>
      </c>
      <c r="F143" t="inlineStr"/>
      <c r="I143" t="inlineStr">
        <is>
          <t>20260318001423</t>
        </is>
      </c>
      <c r="J143" s="4" t="inlineStr">
        <is>
          <t>열기</t>
        </is>
      </c>
    </row>
    <row r="144">
      <c r="A144" t="inlineStr">
        <is>
          <t>카카오</t>
        </is>
      </c>
      <c r="B144" t="inlineStr">
        <is>
          <t>035720</t>
        </is>
      </c>
      <c r="C144" t="inlineStr">
        <is>
          <t>지배주주순이익</t>
        </is>
      </c>
      <c r="D144" t="inlineStr">
        <is>
          <t>전년 동기 YTD</t>
        </is>
      </c>
      <c r="E144" s="3" t="n">
        <v>333098744047</v>
      </c>
      <c r="F144" t="inlineStr"/>
      <c r="I144" t="inlineStr">
        <is>
          <t>20250814003953</t>
        </is>
      </c>
      <c r="J144" s="4" t="inlineStr">
        <is>
          <t>열기</t>
        </is>
      </c>
    </row>
    <row r="145">
      <c r="A145" t="inlineStr">
        <is>
          <t>카카오</t>
        </is>
      </c>
      <c r="B145" t="inlineStr">
        <is>
          <t>035720</t>
        </is>
      </c>
      <c r="C145" t="inlineStr">
        <is>
          <t>당기순이익</t>
        </is>
      </c>
      <c r="D145" t="inlineStr">
        <is>
          <t>당기 YTD</t>
        </is>
      </c>
      <c r="E145" s="3" t="n">
        <v>244816510539</v>
      </c>
      <c r="F145" t="inlineStr">
        <is>
          <t>id</t>
        </is>
      </c>
      <c r="G145" t="inlineStr">
        <is>
          <t>ifrs-full_ProfitLoss</t>
        </is>
      </c>
      <c r="H145" t="inlineStr">
        <is>
          <t>당기순이익(손실)</t>
        </is>
      </c>
      <c r="I145" t="inlineStr">
        <is>
          <t>20260819000055</t>
        </is>
      </c>
      <c r="J145" s="4" t="inlineStr">
        <is>
          <t>열기</t>
        </is>
      </c>
    </row>
    <row r="146">
      <c r="A146" t="inlineStr">
        <is>
          <t>카카오</t>
        </is>
      </c>
      <c r="B146" t="inlineStr">
        <is>
          <t>035720</t>
        </is>
      </c>
      <c r="C146" t="inlineStr">
        <is>
          <t>당기순이익</t>
        </is>
      </c>
      <c r="D146" t="inlineStr">
        <is>
          <t>전년 연간</t>
        </is>
      </c>
      <c r="E146" s="3" t="n">
        <v>517959587282</v>
      </c>
      <c r="F146" t="inlineStr"/>
      <c r="I146" t="inlineStr">
        <is>
          <t>20260318001423</t>
        </is>
      </c>
      <c r="J146" s="4" t="inlineStr">
        <is>
          <t>열기</t>
        </is>
      </c>
    </row>
    <row r="147">
      <c r="A147" t="inlineStr">
        <is>
          <t>카카오</t>
        </is>
      </c>
      <c r="B147" t="inlineStr">
        <is>
          <t>035720</t>
        </is>
      </c>
      <c r="C147" t="inlineStr">
        <is>
          <t>당기순이익</t>
        </is>
      </c>
      <c r="D147" t="inlineStr">
        <is>
          <t>전년 동기 YTD</t>
        </is>
      </c>
      <c r="E147" s="3" t="n">
        <v>372149284703</v>
      </c>
      <c r="F147" t="inlineStr"/>
      <c r="I147" t="inlineStr">
        <is>
          <t>20250814003953</t>
        </is>
      </c>
      <c r="J147" s="4" t="inlineStr">
        <is>
          <t>열기</t>
        </is>
      </c>
    </row>
    <row r="148">
      <c r="A148" t="inlineStr">
        <is>
          <t>카카오</t>
        </is>
      </c>
      <c r="B148" t="inlineStr">
        <is>
          <t>035720</t>
        </is>
      </c>
      <c r="C148" t="inlineStr">
        <is>
          <t>매출액</t>
        </is>
      </c>
      <c r="D148" t="inlineStr">
        <is>
          <t>당기 YTD</t>
        </is>
      </c>
      <c r="E148" s="3" t="n">
        <v>4040533247476</v>
      </c>
      <c r="F148" t="inlineStr">
        <is>
          <t>id</t>
        </is>
      </c>
      <c r="G148" t="inlineStr">
        <is>
          <t>ifrs-full_Revenue</t>
        </is>
      </c>
      <c r="H148" t="inlineStr">
        <is>
          <t>영업수익</t>
        </is>
      </c>
      <c r="I148" t="inlineStr">
        <is>
          <t>20260819000055</t>
        </is>
      </c>
      <c r="J148" s="4" t="inlineStr">
        <is>
          <t>열기</t>
        </is>
      </c>
    </row>
    <row r="149">
      <c r="A149" t="inlineStr">
        <is>
          <t>카카오</t>
        </is>
      </c>
      <c r="B149" t="inlineStr">
        <is>
          <t>035720</t>
        </is>
      </c>
      <c r="C149" t="inlineStr">
        <is>
          <t>매출액</t>
        </is>
      </c>
      <c r="D149" t="inlineStr">
        <is>
          <t>전년 연간</t>
        </is>
      </c>
      <c r="E149" s="3" t="n">
        <v>8099147815086</v>
      </c>
      <c r="F149" t="inlineStr"/>
      <c r="I149" t="inlineStr">
        <is>
          <t>20260318001423</t>
        </is>
      </c>
      <c r="J149" s="4" t="inlineStr">
        <is>
          <t>열기</t>
        </is>
      </c>
    </row>
    <row r="150">
      <c r="A150" t="inlineStr">
        <is>
          <t>카카오</t>
        </is>
      </c>
      <c r="B150" t="inlineStr">
        <is>
          <t>035720</t>
        </is>
      </c>
      <c r="C150" t="inlineStr">
        <is>
          <t>매출액</t>
        </is>
      </c>
      <c r="D150" t="inlineStr">
        <is>
          <t>전년 동기 YTD</t>
        </is>
      </c>
      <c r="E150" s="3" t="n">
        <v>3892043657398</v>
      </c>
      <c r="F150" t="inlineStr"/>
      <c r="I150" t="inlineStr">
        <is>
          <t>20250814003953</t>
        </is>
      </c>
      <c r="J150" s="4" t="inlineStr">
        <is>
          <t>열기</t>
        </is>
      </c>
    </row>
    <row r="151">
      <c r="A151" t="inlineStr">
        <is>
          <t>카카오</t>
        </is>
      </c>
      <c r="B151" t="inlineStr">
        <is>
          <t>035720</t>
        </is>
      </c>
      <c r="C151" t="inlineStr">
        <is>
          <t>매출총이익</t>
        </is>
      </c>
      <c r="D151" t="inlineStr">
        <is>
          <t>당기 YTD</t>
        </is>
      </c>
      <c r="E151" s="3" t="n"/>
      <c r="F151" t="inlineStr">
        <is>
          <t>none</t>
        </is>
      </c>
      <c r="I151" t="inlineStr">
        <is>
          <t>20260819000055</t>
        </is>
      </c>
      <c r="J151" s="4" t="inlineStr">
        <is>
          <t>열기</t>
        </is>
      </c>
    </row>
    <row r="152">
      <c r="A152" t="inlineStr">
        <is>
          <t>카카오</t>
        </is>
      </c>
      <c r="B152" t="inlineStr">
        <is>
          <t>035720</t>
        </is>
      </c>
      <c r="C152" t="inlineStr">
        <is>
          <t>매출총이익</t>
        </is>
      </c>
      <c r="D152" t="inlineStr">
        <is>
          <t>전년 연간</t>
        </is>
      </c>
      <c r="E152" s="3" t="n"/>
      <c r="F152" t="inlineStr"/>
      <c r="I152" t="inlineStr">
        <is>
          <t>20260318001423</t>
        </is>
      </c>
      <c r="J152" s="4" t="inlineStr">
        <is>
          <t>열기</t>
        </is>
      </c>
    </row>
    <row r="153">
      <c r="A153" t="inlineStr">
        <is>
          <t>카카오</t>
        </is>
      </c>
      <c r="B153" t="inlineStr">
        <is>
          <t>035720</t>
        </is>
      </c>
      <c r="C153" t="inlineStr">
        <is>
          <t>매출총이익</t>
        </is>
      </c>
      <c r="D153" t="inlineStr">
        <is>
          <t>전년 동기 YTD</t>
        </is>
      </c>
      <c r="E153" s="3" t="n"/>
      <c r="F153" t="inlineStr"/>
      <c r="I153" t="inlineStr">
        <is>
          <t>20250814003953</t>
        </is>
      </c>
      <c r="J153" s="4" t="inlineStr">
        <is>
          <t>열기</t>
        </is>
      </c>
    </row>
    <row r="154">
      <c r="A154" t="inlineStr">
        <is>
          <t>카카오</t>
        </is>
      </c>
      <c r="B154" t="inlineStr">
        <is>
          <t>035720</t>
        </is>
      </c>
      <c r="C154" t="inlineStr">
        <is>
          <t>영업이익</t>
        </is>
      </c>
      <c r="D154" t="inlineStr">
        <is>
          <t>당기 YTD</t>
        </is>
      </c>
      <c r="E154" s="3" t="n">
        <v>488414000457</v>
      </c>
      <c r="F154" t="inlineStr">
        <is>
          <t>id</t>
        </is>
      </c>
      <c r="G154" t="inlineStr">
        <is>
          <t>dart_OperatingIncomeLoss</t>
        </is>
      </c>
      <c r="H154" t="inlineStr">
        <is>
          <t>영업이익</t>
        </is>
      </c>
      <c r="I154" t="inlineStr">
        <is>
          <t>20260819000055</t>
        </is>
      </c>
      <c r="J154" s="4" t="inlineStr">
        <is>
          <t>열기</t>
        </is>
      </c>
    </row>
    <row r="155">
      <c r="A155" t="inlineStr">
        <is>
          <t>카카오</t>
        </is>
      </c>
      <c r="B155" t="inlineStr">
        <is>
          <t>035720</t>
        </is>
      </c>
      <c r="C155" t="inlineStr">
        <is>
          <t>영업이익</t>
        </is>
      </c>
      <c r="D155" t="inlineStr">
        <is>
          <t>전년 연간</t>
        </is>
      </c>
      <c r="E155" s="3" t="n">
        <v>732036535379</v>
      </c>
      <c r="F155" t="inlineStr"/>
      <c r="I155" t="inlineStr">
        <is>
          <t>20260318001423</t>
        </is>
      </c>
      <c r="J155" s="4" t="inlineStr">
        <is>
          <t>열기</t>
        </is>
      </c>
    </row>
    <row r="156">
      <c r="A156" t="inlineStr">
        <is>
          <t>카카오</t>
        </is>
      </c>
      <c r="B156" t="inlineStr">
        <is>
          <t>035720</t>
        </is>
      </c>
      <c r="C156" t="inlineStr">
        <is>
          <t>영업이익</t>
        </is>
      </c>
      <c r="D156" t="inlineStr">
        <is>
          <t>전년 동기 YTD</t>
        </is>
      </c>
      <c r="E156" s="3" t="n">
        <v>291326822837</v>
      </c>
      <c r="F156" t="inlineStr"/>
      <c r="I156" t="inlineStr">
        <is>
          <t>20250814003953</t>
        </is>
      </c>
      <c r="J156" s="4" t="inlineStr">
        <is>
          <t>열기</t>
        </is>
      </c>
    </row>
    <row r="157">
      <c r="A157" t="inlineStr">
        <is>
          <t>카카오</t>
        </is>
      </c>
      <c r="B157" t="inlineStr">
        <is>
          <t>035720</t>
        </is>
      </c>
      <c r="C157" t="inlineStr">
        <is>
          <t>영업현금흐름</t>
        </is>
      </c>
      <c r="D157" t="inlineStr">
        <is>
          <t>당기 YTD</t>
        </is>
      </c>
      <c r="E157" s="3" t="n">
        <v>359956106356</v>
      </c>
      <c r="F157" t="inlineStr">
        <is>
          <t>id</t>
        </is>
      </c>
      <c r="G157" t="inlineStr">
        <is>
          <t>ifrs-full_CashFlowsFromUsedInOperatingActivities</t>
        </is>
      </c>
      <c r="H157" t="inlineStr">
        <is>
          <t>영업활동현금흐름</t>
        </is>
      </c>
      <c r="I157" t="inlineStr">
        <is>
          <t>20260819000055</t>
        </is>
      </c>
      <c r="J157" s="4" t="inlineStr">
        <is>
          <t>열기</t>
        </is>
      </c>
    </row>
    <row r="158">
      <c r="A158" t="inlineStr">
        <is>
          <t>카카오</t>
        </is>
      </c>
      <c r="B158" t="inlineStr">
        <is>
          <t>035720</t>
        </is>
      </c>
      <c r="C158" t="inlineStr">
        <is>
          <t>영업현금흐름</t>
        </is>
      </c>
      <c r="D158" t="inlineStr">
        <is>
          <t>전년 연간</t>
        </is>
      </c>
      <c r="E158" s="3" t="n">
        <v>1404762595727</v>
      </c>
      <c r="F158" t="inlineStr"/>
      <c r="I158" t="inlineStr">
        <is>
          <t>20260318001423</t>
        </is>
      </c>
      <c r="J158" s="4" t="inlineStr">
        <is>
          <t>열기</t>
        </is>
      </c>
    </row>
    <row r="159">
      <c r="A159" t="inlineStr">
        <is>
          <t>카카오</t>
        </is>
      </c>
      <c r="B159" t="inlineStr">
        <is>
          <t>035720</t>
        </is>
      </c>
      <c r="C159" t="inlineStr">
        <is>
          <t>영업현금흐름</t>
        </is>
      </c>
      <c r="D159" t="inlineStr">
        <is>
          <t>전년 동기 YTD</t>
        </is>
      </c>
      <c r="E159" s="3" t="n">
        <v>623768925756</v>
      </c>
      <c r="F159" t="inlineStr"/>
      <c r="I159" t="inlineStr">
        <is>
          <t>20250814003953</t>
        </is>
      </c>
      <c r="J159" s="4" t="inlineStr">
        <is>
          <t>열기</t>
        </is>
      </c>
    </row>
    <row r="160">
      <c r="A160" t="inlineStr">
        <is>
          <t>카카오</t>
        </is>
      </c>
      <c r="B160" t="inlineStr">
        <is>
          <t>035720</t>
        </is>
      </c>
      <c r="C160" t="inlineStr">
        <is>
          <t>지배주주자본</t>
        </is>
      </c>
      <c r="D160" t="inlineStr">
        <is>
          <t>당기말</t>
        </is>
      </c>
      <c r="E160" s="3" t="n">
        <v>11782230191255</v>
      </c>
      <c r="F160" t="inlineStr">
        <is>
          <t>id</t>
        </is>
      </c>
      <c r="G160" t="inlineStr">
        <is>
          <t>ifrs-full_EquityAttributableToOwnersOfParent</t>
        </is>
      </c>
      <c r="H160" t="inlineStr">
        <is>
          <t>지배기업의 소유주에게 귀속되는 자본</t>
        </is>
      </c>
      <c r="I160" t="inlineStr">
        <is>
          <t>20260819000055</t>
        </is>
      </c>
      <c r="J160" s="4" t="inlineStr">
        <is>
          <t>열기</t>
        </is>
      </c>
    </row>
    <row r="161">
      <c r="A161" t="inlineStr">
        <is>
          <t>카카오</t>
        </is>
      </c>
      <c r="B161" t="inlineStr">
        <is>
          <t>035720</t>
        </is>
      </c>
      <c r="C161" t="inlineStr">
        <is>
          <t>지배주주자본</t>
        </is>
      </c>
      <c r="D161" t="inlineStr">
        <is>
          <t>전년 동기말</t>
        </is>
      </c>
      <c r="E161" s="3" t="n">
        <v>10574934599909</v>
      </c>
      <c r="F161" t="inlineStr"/>
      <c r="I161" t="inlineStr">
        <is>
          <t>20250814003953</t>
        </is>
      </c>
      <c r="J161" s="4" t="inlineStr">
        <is>
          <t>열기</t>
        </is>
      </c>
    </row>
    <row r="162">
      <c r="A162" t="inlineStr">
        <is>
          <t>카카오</t>
        </is>
      </c>
      <c r="B162" t="inlineStr">
        <is>
          <t>035720</t>
        </is>
      </c>
      <c r="C162" t="inlineStr">
        <is>
          <t>자산총계</t>
        </is>
      </c>
      <c r="D162" t="inlineStr">
        <is>
          <t>당기말</t>
        </is>
      </c>
      <c r="E162" s="3" t="n">
        <v>27672994899114</v>
      </c>
      <c r="F162" t="inlineStr">
        <is>
          <t>id</t>
        </is>
      </c>
      <c r="G162" t="inlineStr">
        <is>
          <t>ifrs-full_Assets</t>
        </is>
      </c>
      <c r="H162" t="inlineStr">
        <is>
          <t>자산총계</t>
        </is>
      </c>
      <c r="I162" t="inlineStr">
        <is>
          <t>20260819000055</t>
        </is>
      </c>
      <c r="J162" s="4" t="inlineStr">
        <is>
          <t>열기</t>
        </is>
      </c>
    </row>
    <row r="163">
      <c r="A163" t="inlineStr">
        <is>
          <t>카카오</t>
        </is>
      </c>
      <c r="B163" t="inlineStr">
        <is>
          <t>035720</t>
        </is>
      </c>
      <c r="C163" t="inlineStr">
        <is>
          <t>자산총계</t>
        </is>
      </c>
      <c r="D163" t="inlineStr">
        <is>
          <t>전년 동기말</t>
        </is>
      </c>
      <c r="E163" s="3" t="n">
        <v>26562575454793</v>
      </c>
      <c r="F163" t="inlineStr"/>
      <c r="I163" t="inlineStr">
        <is>
          <t>20250814003953</t>
        </is>
      </c>
      <c r="J163" s="4" t="inlineStr">
        <is>
          <t>열기</t>
        </is>
      </c>
    </row>
    <row r="164">
      <c r="A164" t="inlineStr">
        <is>
          <t>카카오</t>
        </is>
      </c>
      <c r="B164" t="inlineStr">
        <is>
          <t>035720</t>
        </is>
      </c>
      <c r="C164" t="inlineStr">
        <is>
          <t>이자부부채</t>
        </is>
      </c>
      <c r="D164" t="inlineStr">
        <is>
          <t>당기말</t>
        </is>
      </c>
      <c r="E164" s="3" t="n">
        <v>3123738070768</v>
      </c>
      <c r="F164" t="inlineStr">
        <is>
          <t>id</t>
        </is>
      </c>
      <c r="G164" t="inlineStr">
        <is>
          <t>ifrs-full_CurrentBorrowingsAndCurrentPortionOfNoncurrentBorrowings + ifrs-full_CurrentLeaseLiabilities + ifrs-full_LongtermBorrowings + ifrs-full_NoncurrentLeaseLiabilities</t>
        </is>
      </c>
      <c r="H164" t="inlineStr">
        <is>
          <t>단기차입금 + 단기리스부채 + 장기차입금 + 장기리스부채</t>
        </is>
      </c>
      <c r="I164" t="inlineStr">
        <is>
          <t>20260819000055</t>
        </is>
      </c>
      <c r="J164" s="4" t="inlineStr">
        <is>
          <t>열기</t>
        </is>
      </c>
    </row>
    <row r="165">
      <c r="A165" t="inlineStr">
        <is>
          <t>카카오</t>
        </is>
      </c>
      <c r="B165" t="inlineStr">
        <is>
          <t>035720</t>
        </is>
      </c>
      <c r="C165" t="inlineStr">
        <is>
          <t>이자부부채</t>
        </is>
      </c>
      <c r="D165" t="inlineStr">
        <is>
          <t>전년 동기말</t>
        </is>
      </c>
      <c r="E165" s="3" t="n">
        <v>4068940382151</v>
      </c>
      <c r="F165" t="inlineStr"/>
      <c r="I165" t="inlineStr">
        <is>
          <t>20250814003953</t>
        </is>
      </c>
      <c r="J165" s="4" t="inlineStr">
        <is>
          <t>열기</t>
        </is>
      </c>
    </row>
    <row r="166">
      <c r="A166" t="inlineStr">
        <is>
          <t>카카오</t>
        </is>
      </c>
      <c r="B166" t="inlineStr">
        <is>
          <t>035720</t>
        </is>
      </c>
      <c r="C166" t="inlineStr">
        <is>
          <t>현금성자산</t>
        </is>
      </c>
      <c r="D166" t="inlineStr">
        <is>
          <t>당기말</t>
        </is>
      </c>
      <c r="E166" s="3" t="n">
        <v>8178055633745</v>
      </c>
      <c r="F166" t="inlineStr">
        <is>
          <t>id</t>
        </is>
      </c>
      <c r="G166" t="inlineStr">
        <is>
          <t>ifrs-full_CashAndCashEquivalents</t>
        </is>
      </c>
      <c r="H166" t="inlineStr">
        <is>
          <t>현금및현금성자산</t>
        </is>
      </c>
      <c r="I166" t="inlineStr">
        <is>
          <t>20260819000055</t>
        </is>
      </c>
      <c r="J166" s="4" t="inlineStr">
        <is>
          <t>열기</t>
        </is>
      </c>
    </row>
    <row r="167">
      <c r="A167" t="inlineStr">
        <is>
          <t>카카오</t>
        </is>
      </c>
      <c r="B167" t="inlineStr">
        <is>
          <t>035720</t>
        </is>
      </c>
      <c r="C167" t="inlineStr">
        <is>
          <t>현금성자산</t>
        </is>
      </c>
      <c r="D167" t="inlineStr">
        <is>
          <t>전년 동기말</t>
        </is>
      </c>
      <c r="E167" s="3" t="n">
        <v>5748547932731</v>
      </c>
      <c r="F167" t="inlineStr"/>
      <c r="I167" t="inlineStr">
        <is>
          <t>20250814003953</t>
        </is>
      </c>
      <c r="J167" s="4" t="inlineStr">
        <is>
          <t>열기</t>
        </is>
      </c>
    </row>
    <row r="168">
      <c r="A168" t="inlineStr">
        <is>
          <t>카카오</t>
        </is>
      </c>
      <c r="B168" t="inlineStr">
        <is>
          <t>035720</t>
        </is>
      </c>
      <c r="C168" t="inlineStr">
        <is>
          <t>단기금융상품</t>
        </is>
      </c>
      <c r="D168" t="inlineStr">
        <is>
          <t>당기말</t>
        </is>
      </c>
      <c r="E168" s="3" t="n">
        <v>1734900777606</v>
      </c>
      <c r="F168" t="inlineStr">
        <is>
          <t>id</t>
        </is>
      </c>
      <c r="G168" t="inlineStr">
        <is>
          <t>ifrs-full_ShorttermDepositsNotClassifiedAsCashEquivalents</t>
        </is>
      </c>
      <c r="H168" t="inlineStr">
        <is>
          <t>단기금융상품</t>
        </is>
      </c>
      <c r="I168" t="inlineStr">
        <is>
          <t>20260819000055</t>
        </is>
      </c>
      <c r="J168" s="4" t="inlineStr">
        <is>
          <t>열기</t>
        </is>
      </c>
    </row>
    <row r="169">
      <c r="A169" t="inlineStr">
        <is>
          <t>카카오</t>
        </is>
      </c>
      <c r="B169" t="inlineStr">
        <is>
          <t>035720</t>
        </is>
      </c>
      <c r="C169" t="inlineStr">
        <is>
          <t>단기금융상품</t>
        </is>
      </c>
      <c r="D169" t="inlineStr">
        <is>
          <t>전년 동기말</t>
        </is>
      </c>
      <c r="E169" s="3" t="n">
        <v>1603292059222</v>
      </c>
      <c r="F169" t="inlineStr"/>
      <c r="I169" t="inlineStr">
        <is>
          <t>20250814003953</t>
        </is>
      </c>
      <c r="J169" s="4" t="inlineStr">
        <is>
          <t>열기</t>
        </is>
      </c>
    </row>
    <row r="170">
      <c r="A170" t="inlineStr">
        <is>
          <t>LG</t>
        </is>
      </c>
      <c r="B170" t="inlineStr">
        <is>
          <t>003550</t>
        </is>
      </c>
      <c r="C170" t="inlineStr">
        <is>
          <t>지배주주순이익</t>
        </is>
      </c>
      <c r="D170" t="inlineStr">
        <is>
          <t>당기 YTD</t>
        </is>
      </c>
      <c r="E170" s="3" t="n">
        <v>805510000000</v>
      </c>
      <c r="F170" t="inlineStr">
        <is>
          <t>id</t>
        </is>
      </c>
      <c r="G170" t="inlineStr">
        <is>
          <t>ifrs-full_ProfitLossAttributableToOwnersOfParent</t>
        </is>
      </c>
      <c r="H170" t="inlineStr">
        <is>
          <t>지배기업의 소유주</t>
        </is>
      </c>
      <c r="I170" t="inlineStr">
        <is>
          <t>20260814002972</t>
        </is>
      </c>
      <c r="J170" s="4" t="inlineStr">
        <is>
          <t>열기</t>
        </is>
      </c>
    </row>
    <row r="171">
      <c r="A171" t="inlineStr">
        <is>
          <t>LG</t>
        </is>
      </c>
      <c r="B171" t="inlineStr">
        <is>
          <t>003550</t>
        </is>
      </c>
      <c r="C171" t="inlineStr">
        <is>
          <t>지배주주순이익</t>
        </is>
      </c>
      <c r="D171" t="inlineStr">
        <is>
          <t>전년 연간</t>
        </is>
      </c>
      <c r="E171" s="3" t="n">
        <v>737248000000</v>
      </c>
      <c r="F171" t="inlineStr"/>
      <c r="I171" t="inlineStr">
        <is>
          <t>20260318001025</t>
        </is>
      </c>
      <c r="J171" s="4" t="inlineStr">
        <is>
          <t>열기</t>
        </is>
      </c>
    </row>
    <row r="172">
      <c r="A172" t="inlineStr">
        <is>
          <t>LG</t>
        </is>
      </c>
      <c r="B172" t="inlineStr">
        <is>
          <t>003550</t>
        </is>
      </c>
      <c r="C172" t="inlineStr">
        <is>
          <t>지배주주순이익</t>
        </is>
      </c>
      <c r="D172" t="inlineStr">
        <is>
          <t>전년 동기 YTD</t>
        </is>
      </c>
      <c r="E172" s="3" t="n">
        <v>784834000000</v>
      </c>
      <c r="F172" t="inlineStr"/>
      <c r="I172" t="inlineStr">
        <is>
          <t>20250814003006</t>
        </is>
      </c>
      <c r="J172" s="4" t="inlineStr">
        <is>
          <t>열기</t>
        </is>
      </c>
    </row>
    <row r="173">
      <c r="A173" t="inlineStr">
        <is>
          <t>LG</t>
        </is>
      </c>
      <c r="B173" t="inlineStr">
        <is>
          <t>003550</t>
        </is>
      </c>
      <c r="C173" t="inlineStr">
        <is>
          <t>당기순이익</t>
        </is>
      </c>
      <c r="D173" t="inlineStr">
        <is>
          <t>당기 YTD</t>
        </is>
      </c>
      <c r="E173" s="3" t="n">
        <v>912803000000</v>
      </c>
      <c r="F173" t="inlineStr">
        <is>
          <t>id</t>
        </is>
      </c>
      <c r="G173" t="inlineStr">
        <is>
          <t>ifrs-full_ProfitLoss</t>
        </is>
      </c>
      <c r="H173" t="inlineStr">
        <is>
          <t>반기순이익</t>
        </is>
      </c>
      <c r="I173" t="inlineStr">
        <is>
          <t>20260814002972</t>
        </is>
      </c>
      <c r="J173" s="4" t="inlineStr">
        <is>
          <t>열기</t>
        </is>
      </c>
    </row>
    <row r="174">
      <c r="A174" t="inlineStr">
        <is>
          <t>LG</t>
        </is>
      </c>
      <c r="B174" t="inlineStr">
        <is>
          <t>003550</t>
        </is>
      </c>
      <c r="C174" t="inlineStr">
        <is>
          <t>당기순이익</t>
        </is>
      </c>
      <c r="D174" t="inlineStr">
        <is>
          <t>전년 연간</t>
        </is>
      </c>
      <c r="E174" s="3" t="n">
        <v>1000121000000</v>
      </c>
      <c r="F174" t="inlineStr"/>
      <c r="I174" t="inlineStr">
        <is>
          <t>20260318001025</t>
        </is>
      </c>
      <c r="J174" s="4" t="inlineStr">
        <is>
          <t>열기</t>
        </is>
      </c>
    </row>
    <row r="175">
      <c r="A175" t="inlineStr">
        <is>
          <t>LG</t>
        </is>
      </c>
      <c r="B175" t="inlineStr">
        <is>
          <t>003550</t>
        </is>
      </c>
      <c r="C175" t="inlineStr">
        <is>
          <t>당기순이익</t>
        </is>
      </c>
      <c r="D175" t="inlineStr">
        <is>
          <t>전년 동기 YTD</t>
        </is>
      </c>
      <c r="E175" s="3" t="n">
        <v>852645000000</v>
      </c>
      <c r="F175" t="inlineStr"/>
      <c r="I175" t="inlineStr">
        <is>
          <t>20250814003006</t>
        </is>
      </c>
      <c r="J175" s="4" t="inlineStr">
        <is>
          <t>열기</t>
        </is>
      </c>
    </row>
    <row r="176">
      <c r="A176" t="inlineStr">
        <is>
          <t>LG</t>
        </is>
      </c>
      <c r="B176" t="inlineStr">
        <is>
          <t>003550</t>
        </is>
      </c>
      <c r="C176" t="inlineStr">
        <is>
          <t>매출액</t>
        </is>
      </c>
      <c r="D176" t="inlineStr">
        <is>
          <t>당기 YTD</t>
        </is>
      </c>
      <c r="E176" s="3" t="n">
        <v>3940245000000</v>
      </c>
      <c r="F176" t="inlineStr">
        <is>
          <t>id</t>
        </is>
      </c>
      <c r="G176" t="inlineStr">
        <is>
          <t>ifrs-full_Revenue</t>
        </is>
      </c>
      <c r="H176" t="inlineStr">
        <is>
          <t>매출및지분법손익</t>
        </is>
      </c>
      <c r="I176" t="inlineStr">
        <is>
          <t>20260814002972</t>
        </is>
      </c>
      <c r="J176" s="4" t="inlineStr">
        <is>
          <t>열기</t>
        </is>
      </c>
    </row>
    <row r="177">
      <c r="A177" t="inlineStr">
        <is>
          <t>LG</t>
        </is>
      </c>
      <c r="B177" t="inlineStr">
        <is>
          <t>003550</t>
        </is>
      </c>
      <c r="C177" t="inlineStr">
        <is>
          <t>매출액</t>
        </is>
      </c>
      <c r="D177" t="inlineStr">
        <is>
          <t>전년 연간</t>
        </is>
      </c>
      <c r="E177" s="3" t="n">
        <v>7252547000000</v>
      </c>
      <c r="F177" t="inlineStr"/>
      <c r="I177" t="inlineStr">
        <is>
          <t>20260318001025</t>
        </is>
      </c>
      <c r="J177" s="4" t="inlineStr">
        <is>
          <t>열기</t>
        </is>
      </c>
    </row>
    <row r="178">
      <c r="A178" t="inlineStr">
        <is>
          <t>LG</t>
        </is>
      </c>
      <c r="B178" t="inlineStr">
        <is>
          <t>003550</t>
        </is>
      </c>
      <c r="C178" t="inlineStr">
        <is>
          <t>매출액</t>
        </is>
      </c>
      <c r="D178" t="inlineStr">
        <is>
          <t>전년 동기 YTD</t>
        </is>
      </c>
      <c r="E178" s="3" t="n">
        <v>3733846000000</v>
      </c>
      <c r="F178" t="inlineStr"/>
      <c r="I178" t="inlineStr">
        <is>
          <t>20250814003006</t>
        </is>
      </c>
      <c r="J178" s="4" t="inlineStr">
        <is>
          <t>열기</t>
        </is>
      </c>
    </row>
    <row r="179">
      <c r="A179" t="inlineStr">
        <is>
          <t>LG</t>
        </is>
      </c>
      <c r="B179" t="inlineStr">
        <is>
          <t>003550</t>
        </is>
      </c>
      <c r="C179" t="inlineStr">
        <is>
          <t>매출총이익</t>
        </is>
      </c>
      <c r="D179" t="inlineStr">
        <is>
          <t>당기 YTD</t>
        </is>
      </c>
      <c r="E179" s="3" t="n">
        <v>1157087000000</v>
      </c>
      <c r="F179" t="inlineStr">
        <is>
          <t>id</t>
        </is>
      </c>
      <c r="G179" t="inlineStr">
        <is>
          <t>ifrs-full_GrossProfit</t>
        </is>
      </c>
      <c r="H179" t="inlineStr">
        <is>
          <t>매출총이익</t>
        </is>
      </c>
      <c r="I179" t="inlineStr">
        <is>
          <t>20260814002972</t>
        </is>
      </c>
      <c r="J179" s="4" t="inlineStr">
        <is>
          <t>열기</t>
        </is>
      </c>
    </row>
    <row r="180">
      <c r="A180" t="inlineStr">
        <is>
          <t>LG</t>
        </is>
      </c>
      <c r="B180" t="inlineStr">
        <is>
          <t>003550</t>
        </is>
      </c>
      <c r="C180" t="inlineStr">
        <is>
          <t>매출총이익</t>
        </is>
      </c>
      <c r="D180" t="inlineStr">
        <is>
          <t>전년 연간</t>
        </is>
      </c>
      <c r="E180" s="3" t="n">
        <v>1353734000000</v>
      </c>
      <c r="F180" t="inlineStr"/>
      <c r="I180" t="inlineStr">
        <is>
          <t>20260318001025</t>
        </is>
      </c>
      <c r="J180" s="4" t="inlineStr">
        <is>
          <t>열기</t>
        </is>
      </c>
    </row>
    <row r="181">
      <c r="A181" t="inlineStr">
        <is>
          <t>LG</t>
        </is>
      </c>
      <c r="B181" t="inlineStr">
        <is>
          <t>003550</t>
        </is>
      </c>
      <c r="C181" t="inlineStr">
        <is>
          <t>매출총이익</t>
        </is>
      </c>
      <c r="D181" t="inlineStr">
        <is>
          <t>전년 동기 YTD</t>
        </is>
      </c>
      <c r="E181" s="3" t="n">
        <v>1112265000000</v>
      </c>
      <c r="F181" t="inlineStr"/>
      <c r="I181" t="inlineStr">
        <is>
          <t>20250814003006</t>
        </is>
      </c>
      <c r="J181" s="4" t="inlineStr">
        <is>
          <t>열기</t>
        </is>
      </c>
    </row>
    <row r="182">
      <c r="A182" t="inlineStr">
        <is>
          <t>LG</t>
        </is>
      </c>
      <c r="B182" t="inlineStr">
        <is>
          <t>003550</t>
        </is>
      </c>
      <c r="C182" t="inlineStr">
        <is>
          <t>영업이익</t>
        </is>
      </c>
      <c r="D182" t="inlineStr">
        <is>
          <t>당기 YTD</t>
        </is>
      </c>
      <c r="E182" s="3" t="n">
        <v>946808000000</v>
      </c>
      <c r="F182" t="inlineStr">
        <is>
          <t>id</t>
        </is>
      </c>
      <c r="G182" t="inlineStr">
        <is>
          <t>dart_OperatingIncomeLoss</t>
        </is>
      </c>
      <c r="H182" t="inlineStr">
        <is>
          <t>영업이익</t>
        </is>
      </c>
      <c r="I182" t="inlineStr">
        <is>
          <t>20260814002972</t>
        </is>
      </c>
      <c r="J182" s="4" t="inlineStr">
        <is>
          <t>열기</t>
        </is>
      </c>
    </row>
    <row r="183">
      <c r="A183" t="inlineStr">
        <is>
          <t>LG</t>
        </is>
      </c>
      <c r="B183" t="inlineStr">
        <is>
          <t>003550</t>
        </is>
      </c>
      <c r="C183" t="inlineStr">
        <is>
          <t>영업이익</t>
        </is>
      </c>
      <c r="D183" t="inlineStr">
        <is>
          <t>전년 연간</t>
        </is>
      </c>
      <c r="E183" s="3" t="n">
        <v>912174000000</v>
      </c>
      <c r="F183" t="inlineStr"/>
      <c r="I183" t="inlineStr">
        <is>
          <t>20260318001025</t>
        </is>
      </c>
      <c r="J183" s="4" t="inlineStr">
        <is>
          <t>열기</t>
        </is>
      </c>
    </row>
    <row r="184">
      <c r="A184" t="inlineStr">
        <is>
          <t>LG</t>
        </is>
      </c>
      <c r="B184" t="inlineStr">
        <is>
          <t>003550</t>
        </is>
      </c>
      <c r="C184" t="inlineStr">
        <is>
          <t>영업이익</t>
        </is>
      </c>
      <c r="D184" t="inlineStr">
        <is>
          <t>전년 동기 YTD</t>
        </is>
      </c>
      <c r="E184" s="3" t="n">
        <v>914931000000</v>
      </c>
      <c r="F184" t="inlineStr"/>
      <c r="I184" t="inlineStr">
        <is>
          <t>20250814003006</t>
        </is>
      </c>
      <c r="J184" s="4" t="inlineStr">
        <is>
          <t>열기</t>
        </is>
      </c>
    </row>
    <row r="185">
      <c r="A185" t="inlineStr">
        <is>
          <t>LG</t>
        </is>
      </c>
      <c r="B185" t="inlineStr">
        <is>
          <t>003550</t>
        </is>
      </c>
      <c r="C185" t="inlineStr">
        <is>
          <t>영업현금흐름</t>
        </is>
      </c>
      <c r="D185" t="inlineStr">
        <is>
          <t>당기 YTD</t>
        </is>
      </c>
      <c r="E185" s="3" t="n">
        <v>531959000000</v>
      </c>
      <c r="F185" t="inlineStr">
        <is>
          <t>id</t>
        </is>
      </c>
      <c r="G185" t="inlineStr">
        <is>
          <t>ifrs-full_CashFlowsFromUsedInOperatingActivities</t>
        </is>
      </c>
      <c r="H185" t="inlineStr">
        <is>
          <t>영업활동으로 인한 현금흐름</t>
        </is>
      </c>
      <c r="I185" t="inlineStr">
        <is>
          <t>20260814002972</t>
        </is>
      </c>
      <c r="J185" s="4" t="inlineStr">
        <is>
          <t>열기</t>
        </is>
      </c>
    </row>
    <row r="186">
      <c r="A186" t="inlineStr">
        <is>
          <t>LG</t>
        </is>
      </c>
      <c r="B186" t="inlineStr">
        <is>
          <t>003550</t>
        </is>
      </c>
      <c r="C186" t="inlineStr">
        <is>
          <t>영업현금흐름</t>
        </is>
      </c>
      <c r="D186" t="inlineStr">
        <is>
          <t>전년 연간</t>
        </is>
      </c>
      <c r="E186" s="3" t="n">
        <v>1015114000000</v>
      </c>
      <c r="F186" t="inlineStr"/>
      <c r="I186" t="inlineStr">
        <is>
          <t>20260318001025</t>
        </is>
      </c>
      <c r="J186" s="4" t="inlineStr">
        <is>
          <t>열기</t>
        </is>
      </c>
    </row>
    <row r="187">
      <c r="A187" t="inlineStr">
        <is>
          <t>LG</t>
        </is>
      </c>
      <c r="B187" t="inlineStr">
        <is>
          <t>003550</t>
        </is>
      </c>
      <c r="C187" t="inlineStr">
        <is>
          <t>영업현금흐름</t>
        </is>
      </c>
      <c r="D187" t="inlineStr">
        <is>
          <t>전년 동기 YTD</t>
        </is>
      </c>
      <c r="E187" s="3" t="n">
        <v>479305000000</v>
      </c>
      <c r="F187" t="inlineStr"/>
      <c r="I187" t="inlineStr">
        <is>
          <t>20250814003006</t>
        </is>
      </c>
      <c r="J187" s="4" t="inlineStr">
        <is>
          <t>열기</t>
        </is>
      </c>
    </row>
    <row r="188">
      <c r="A188" t="inlineStr">
        <is>
          <t>LG</t>
        </is>
      </c>
      <c r="B188" t="inlineStr">
        <is>
          <t>003550</t>
        </is>
      </c>
      <c r="C188" t="inlineStr">
        <is>
          <t>지배주주자본</t>
        </is>
      </c>
      <c r="D188" t="inlineStr">
        <is>
          <t>당기말</t>
        </is>
      </c>
      <c r="E188" s="3" t="n">
        <v>31035798000000</v>
      </c>
      <c r="F188" t="inlineStr">
        <is>
          <t>id</t>
        </is>
      </c>
      <c r="G188" t="inlineStr">
        <is>
          <t>ifrs-full_EquityAttributableToOwnersOfParent</t>
        </is>
      </c>
      <c r="H188" t="inlineStr">
        <is>
          <t>지배기업의 소유주에게 귀속되는 자본</t>
        </is>
      </c>
      <c r="I188" t="inlineStr">
        <is>
          <t>20260814002972</t>
        </is>
      </c>
      <c r="J188" s="4" t="inlineStr">
        <is>
          <t>열기</t>
        </is>
      </c>
    </row>
    <row r="189">
      <c r="A189" t="inlineStr">
        <is>
          <t>LG</t>
        </is>
      </c>
      <c r="B189" t="inlineStr">
        <is>
          <t>003550</t>
        </is>
      </c>
      <c r="C189" t="inlineStr">
        <is>
          <t>지배주주자본</t>
        </is>
      </c>
      <c r="D189" t="inlineStr">
        <is>
          <t>전년 동기말</t>
        </is>
      </c>
      <c r="E189" s="3" t="n">
        <v>27092817000000</v>
      </c>
      <c r="F189" t="inlineStr"/>
      <c r="I189" t="inlineStr">
        <is>
          <t>20250814003006</t>
        </is>
      </c>
      <c r="J189" s="4" t="inlineStr">
        <is>
          <t>열기</t>
        </is>
      </c>
    </row>
    <row r="190">
      <c r="A190" t="inlineStr">
        <is>
          <t>LG</t>
        </is>
      </c>
      <c r="B190" t="inlineStr">
        <is>
          <t>003550</t>
        </is>
      </c>
      <c r="C190" t="inlineStr">
        <is>
          <t>자산총계</t>
        </is>
      </c>
      <c r="D190" t="inlineStr">
        <is>
          <t>당기말</t>
        </is>
      </c>
      <c r="E190" s="3" t="n">
        <v>35931460000000</v>
      </c>
      <c r="F190" t="inlineStr">
        <is>
          <t>id</t>
        </is>
      </c>
      <c r="G190" t="inlineStr">
        <is>
          <t>ifrs-full_Assets</t>
        </is>
      </c>
      <c r="H190" t="inlineStr">
        <is>
          <t>자산총계</t>
        </is>
      </c>
      <c r="I190" t="inlineStr">
        <is>
          <t>20260814002972</t>
        </is>
      </c>
      <c r="J190" s="4" t="inlineStr">
        <is>
          <t>열기</t>
        </is>
      </c>
    </row>
    <row r="191">
      <c r="A191" t="inlineStr">
        <is>
          <t>LG</t>
        </is>
      </c>
      <c r="B191" t="inlineStr">
        <is>
          <t>003550</t>
        </is>
      </c>
      <c r="C191" t="inlineStr">
        <is>
          <t>자산총계</t>
        </is>
      </c>
      <c r="D191" t="inlineStr">
        <is>
          <t>전년 동기말</t>
        </is>
      </c>
      <c r="E191" s="3" t="n">
        <v>31461920000000</v>
      </c>
      <c r="F191" t="inlineStr"/>
      <c r="I191" t="inlineStr">
        <is>
          <t>20250814003006</t>
        </is>
      </c>
      <c r="J191" s="4" t="inlineStr">
        <is>
          <t>열기</t>
        </is>
      </c>
    </row>
    <row r="192">
      <c r="A192" t="inlineStr">
        <is>
          <t>LG</t>
        </is>
      </c>
      <c r="B192" t="inlineStr">
        <is>
          <t>003550</t>
        </is>
      </c>
      <c r="C192" t="inlineStr">
        <is>
          <t>이자부부채</t>
        </is>
      </c>
      <c r="D192" t="inlineStr">
        <is>
          <t>당기말</t>
        </is>
      </c>
      <c r="E192" s="3" t="n">
        <v>585765000000</v>
      </c>
      <c r="F192" t="inlineStr">
        <is>
          <t>id</t>
        </is>
      </c>
      <c r="G192" t="inlineStr">
        <is>
          <t>ifrs-full_CurrentLeaseLiabilities + ifrs-full_CurrentPortionOfLongtermBorrowings + ifrs-full_LongtermBorrowings + ifrs-full_NoncurrentLeaseLiabilities</t>
        </is>
      </c>
      <c r="H192" t="inlineStr">
        <is>
          <t>유동성 리스부채 + 유동성장기차입금 + 장기차입금 + 리스부채</t>
        </is>
      </c>
      <c r="I192" t="inlineStr">
        <is>
          <t>20260814002972</t>
        </is>
      </c>
      <c r="J192" s="4" t="inlineStr">
        <is>
          <t>열기</t>
        </is>
      </c>
    </row>
    <row r="193">
      <c r="A193" t="inlineStr">
        <is>
          <t>LG</t>
        </is>
      </c>
      <c r="B193" t="inlineStr">
        <is>
          <t>003550</t>
        </is>
      </c>
      <c r="C193" t="inlineStr">
        <is>
          <t>이자부부채</t>
        </is>
      </c>
      <c r="D193" t="inlineStr">
        <is>
          <t>전년 동기말</t>
        </is>
      </c>
      <c r="E193" s="3" t="n">
        <v>663691000000</v>
      </c>
      <c r="F193" t="inlineStr"/>
      <c r="I193" t="inlineStr">
        <is>
          <t>20250814003006</t>
        </is>
      </c>
      <c r="J193" s="4" t="inlineStr">
        <is>
          <t>열기</t>
        </is>
      </c>
    </row>
    <row r="194">
      <c r="A194" t="inlineStr">
        <is>
          <t>LG</t>
        </is>
      </c>
      <c r="B194" t="inlineStr">
        <is>
          <t>003550</t>
        </is>
      </c>
      <c r="C194" t="inlineStr">
        <is>
          <t>현금성자산</t>
        </is>
      </c>
      <c r="D194" t="inlineStr">
        <is>
          <t>당기말</t>
        </is>
      </c>
      <c r="E194" s="3" t="n">
        <v>871844000000</v>
      </c>
      <c r="F194" t="inlineStr">
        <is>
          <t>id</t>
        </is>
      </c>
      <c r="G194" t="inlineStr">
        <is>
          <t>ifrs-full_CashAndCashEquivalents</t>
        </is>
      </c>
      <c r="H194" t="inlineStr">
        <is>
          <t>현금및현금성자산</t>
        </is>
      </c>
      <c r="I194" t="inlineStr">
        <is>
          <t>20260814002972</t>
        </is>
      </c>
      <c r="J194" s="4" t="inlineStr">
        <is>
          <t>열기</t>
        </is>
      </c>
    </row>
    <row r="195">
      <c r="A195" t="inlineStr">
        <is>
          <t>LG</t>
        </is>
      </c>
      <c r="B195" t="inlineStr">
        <is>
          <t>003550</t>
        </is>
      </c>
      <c r="C195" t="inlineStr">
        <is>
          <t>현금성자산</t>
        </is>
      </c>
      <c r="D195" t="inlineStr">
        <is>
          <t>전년 동기말</t>
        </is>
      </c>
      <c r="E195" s="3" t="n">
        <v>1687295000000</v>
      </c>
      <c r="F195" t="inlineStr"/>
      <c r="I195" t="inlineStr">
        <is>
          <t>20250814003006</t>
        </is>
      </c>
      <c r="J195" s="4" t="inlineStr">
        <is>
          <t>열기</t>
        </is>
      </c>
    </row>
    <row r="196">
      <c r="A196" t="inlineStr">
        <is>
          <t>LG</t>
        </is>
      </c>
      <c r="B196" t="inlineStr">
        <is>
          <t>003550</t>
        </is>
      </c>
      <c r="C196" t="inlineStr">
        <is>
          <t>단기금융상품</t>
        </is>
      </c>
      <c r="D196" t="inlineStr">
        <is>
          <t>당기말</t>
        </is>
      </c>
      <c r="E196" s="3" t="n">
        <v>2256947000000</v>
      </c>
      <c r="F196" t="inlineStr">
        <is>
          <t>id</t>
        </is>
      </c>
      <c r="G196" t="inlineStr">
        <is>
          <t>ifrs-full_ShorttermDepositsNotClassifiedAsCashEquivalents</t>
        </is>
      </c>
      <c r="H196" t="inlineStr">
        <is>
          <t>금융기관예치금</t>
        </is>
      </c>
      <c r="I196" t="inlineStr">
        <is>
          <t>20260814002972</t>
        </is>
      </c>
      <c r="J196" s="4" t="inlineStr">
        <is>
          <t>열기</t>
        </is>
      </c>
    </row>
    <row r="197">
      <c r="A197" t="inlineStr">
        <is>
          <t>LG</t>
        </is>
      </c>
      <c r="B197" t="inlineStr">
        <is>
          <t>003550</t>
        </is>
      </c>
      <c r="C197" t="inlineStr">
        <is>
          <t>단기금융상품</t>
        </is>
      </c>
      <c r="D197" t="inlineStr">
        <is>
          <t>전년 동기말</t>
        </is>
      </c>
      <c r="E197" s="3" t="n">
        <v>947384000000</v>
      </c>
      <c r="F197" t="inlineStr"/>
      <c r="I197" t="inlineStr">
        <is>
          <t>20250814003006</t>
        </is>
      </c>
      <c r="J197" s="4" t="inlineStr">
        <is>
          <t>열기</t>
        </is>
      </c>
    </row>
    <row r="198">
      <c r="A198" t="inlineStr">
        <is>
          <t>SK</t>
        </is>
      </c>
      <c r="B198" t="inlineStr">
        <is>
          <t>034730</t>
        </is>
      </c>
      <c r="C198" t="inlineStr">
        <is>
          <t>지배주주순이익</t>
        </is>
      </c>
      <c r="D198" t="inlineStr">
        <is>
          <t>당기 YTD</t>
        </is>
      </c>
      <c r="E198" s="3" t="n">
        <v>9344993000000</v>
      </c>
      <c r="F198" t="inlineStr">
        <is>
          <t>id</t>
        </is>
      </c>
      <c r="G198" t="inlineStr">
        <is>
          <t>ifrs-full_ProfitLossAttributableToOwnersOfParent</t>
        </is>
      </c>
      <c r="H198" t="inlineStr">
        <is>
          <t>지배기업소유주지분순이익</t>
        </is>
      </c>
      <c r="I198" t="inlineStr">
        <is>
          <t>20260814002185</t>
        </is>
      </c>
      <c r="J198" s="4" t="inlineStr">
        <is>
          <t>열기</t>
        </is>
      </c>
    </row>
    <row r="199">
      <c r="A199" t="inlineStr">
        <is>
          <t>SK</t>
        </is>
      </c>
      <c r="B199" t="inlineStr">
        <is>
          <t>034730</t>
        </is>
      </c>
      <c r="C199" t="inlineStr">
        <is>
          <t>지배주주순이익</t>
        </is>
      </c>
      <c r="D199" t="inlineStr">
        <is>
          <t>전년 연간</t>
        </is>
      </c>
      <c r="E199" s="3" t="n">
        <v>1597498000000</v>
      </c>
      <c r="F199" t="inlineStr"/>
      <c r="I199" t="inlineStr">
        <is>
          <t>20260318001157</t>
        </is>
      </c>
      <c r="J199" s="4" t="inlineStr">
        <is>
          <t>열기</t>
        </is>
      </c>
    </row>
    <row r="200">
      <c r="A200" t="inlineStr">
        <is>
          <t>SK</t>
        </is>
      </c>
      <c r="B200" t="inlineStr">
        <is>
          <t>034730</t>
        </is>
      </c>
      <c r="C200" t="inlineStr">
        <is>
          <t>지배주주순이익</t>
        </is>
      </c>
      <c r="D200" t="inlineStr">
        <is>
          <t>전년 동기 YTD</t>
        </is>
      </c>
      <c r="E200" s="3" t="n">
        <v>2896643000000</v>
      </c>
      <c r="F200" t="inlineStr"/>
      <c r="I200" t="inlineStr">
        <is>
          <t>20250814003843</t>
        </is>
      </c>
      <c r="J200" s="4" t="inlineStr">
        <is>
          <t>열기</t>
        </is>
      </c>
    </row>
    <row r="201">
      <c r="A201" t="inlineStr">
        <is>
          <t>SK</t>
        </is>
      </c>
      <c r="B201" t="inlineStr">
        <is>
          <t>034730</t>
        </is>
      </c>
      <c r="C201" t="inlineStr">
        <is>
          <t>당기순이익</t>
        </is>
      </c>
      <c r="D201" t="inlineStr">
        <is>
          <t>당기 YTD</t>
        </is>
      </c>
      <c r="E201" s="3" t="n">
        <v>29014813000000</v>
      </c>
      <c r="F201" t="inlineStr">
        <is>
          <t>id</t>
        </is>
      </c>
      <c r="G201" t="inlineStr">
        <is>
          <t>ifrs-full_ProfitLoss</t>
        </is>
      </c>
      <c r="H201" t="inlineStr">
        <is>
          <t>반기연결순이익</t>
        </is>
      </c>
      <c r="I201" t="inlineStr">
        <is>
          <t>20260814002185</t>
        </is>
      </c>
      <c r="J201" s="4" t="inlineStr">
        <is>
          <t>열기</t>
        </is>
      </c>
    </row>
    <row r="202">
      <c r="A202" t="inlineStr">
        <is>
          <t>SK</t>
        </is>
      </c>
      <c r="B202" t="inlineStr">
        <is>
          <t>034730</t>
        </is>
      </c>
      <c r="C202" t="inlineStr">
        <is>
          <t>당기순이익</t>
        </is>
      </c>
      <c r="D202" t="inlineStr">
        <is>
          <t>전년 연간</t>
        </is>
      </c>
      <c r="E202" s="3" t="n">
        <v>3555246000000</v>
      </c>
      <c r="F202" t="inlineStr"/>
      <c r="I202" t="inlineStr">
        <is>
          <t>20260318001157</t>
        </is>
      </c>
      <c r="J202" s="4" t="inlineStr">
        <is>
          <t>열기</t>
        </is>
      </c>
    </row>
    <row r="203">
      <c r="A203" t="inlineStr">
        <is>
          <t>SK</t>
        </is>
      </c>
      <c r="B203" t="inlineStr">
        <is>
          <t>034730</t>
        </is>
      </c>
      <c r="C203" t="inlineStr">
        <is>
          <t>당기순이익</t>
        </is>
      </c>
      <c r="D203" t="inlineStr">
        <is>
          <t>전년 동기 YTD</t>
        </is>
      </c>
      <c r="E203" s="3" t="n">
        <v>4567523000000</v>
      </c>
      <c r="F203" t="inlineStr"/>
      <c r="I203" t="inlineStr">
        <is>
          <t>20250814003843</t>
        </is>
      </c>
      <c r="J203" s="4" t="inlineStr">
        <is>
          <t>열기</t>
        </is>
      </c>
    </row>
    <row r="204">
      <c r="A204" t="inlineStr">
        <is>
          <t>SK</t>
        </is>
      </c>
      <c r="B204" t="inlineStr">
        <is>
          <t>034730</t>
        </is>
      </c>
      <c r="C204" t="inlineStr">
        <is>
          <t>매출액</t>
        </is>
      </c>
      <c r="D204" t="inlineStr">
        <is>
          <t>당기 YTD</t>
        </is>
      </c>
      <c r="E204" s="3" t="n">
        <v>78954891000000</v>
      </c>
      <c r="F204" t="inlineStr">
        <is>
          <t>id</t>
        </is>
      </c>
      <c r="G204" t="inlineStr">
        <is>
          <t>ifrs-full_Revenue</t>
        </is>
      </c>
      <c r="H204" t="inlineStr">
        <is>
          <t>매출액 및 기타영업수익</t>
        </is>
      </c>
      <c r="I204" t="inlineStr">
        <is>
          <t>20260814002185</t>
        </is>
      </c>
      <c r="J204" s="4" t="inlineStr">
        <is>
          <t>열기</t>
        </is>
      </c>
    </row>
    <row r="205">
      <c r="A205" t="inlineStr">
        <is>
          <t>SK</t>
        </is>
      </c>
      <c r="B205" t="inlineStr">
        <is>
          <t>034730</t>
        </is>
      </c>
      <c r="C205" t="inlineStr">
        <is>
          <t>매출액</t>
        </is>
      </c>
      <c r="D205" t="inlineStr">
        <is>
          <t>전년 연간</t>
        </is>
      </c>
      <c r="E205" s="3" t="n">
        <v>122703338000000</v>
      </c>
      <c r="F205" t="inlineStr"/>
      <c r="I205" t="inlineStr">
        <is>
          <t>20260318001157</t>
        </is>
      </c>
      <c r="J205" s="4" t="inlineStr">
        <is>
          <t>열기</t>
        </is>
      </c>
    </row>
    <row r="206">
      <c r="A206" t="inlineStr">
        <is>
          <t>SK</t>
        </is>
      </c>
      <c r="B206" t="inlineStr">
        <is>
          <t>034730</t>
        </is>
      </c>
      <c r="C206" t="inlineStr">
        <is>
          <t>매출액</t>
        </is>
      </c>
      <c r="D206" t="inlineStr">
        <is>
          <t>전년 동기 YTD</t>
        </is>
      </c>
      <c r="E206" s="3" t="n">
        <v>61371896000000</v>
      </c>
      <c r="F206" t="inlineStr"/>
      <c r="I206" t="inlineStr">
        <is>
          <t>20250814003843</t>
        </is>
      </c>
      <c r="J206" s="4" t="inlineStr">
        <is>
          <t>열기</t>
        </is>
      </c>
    </row>
    <row r="207">
      <c r="A207" t="inlineStr">
        <is>
          <t>SK</t>
        </is>
      </c>
      <c r="B207" t="inlineStr">
        <is>
          <t>034730</t>
        </is>
      </c>
      <c r="C207" t="inlineStr">
        <is>
          <t>매출총이익</t>
        </is>
      </c>
      <c r="D207" t="inlineStr">
        <is>
          <t>당기 YTD</t>
        </is>
      </c>
      <c r="E207" s="3" t="n">
        <v>12774073000000</v>
      </c>
      <c r="F207" t="inlineStr">
        <is>
          <t>id</t>
        </is>
      </c>
      <c r="G207" t="inlineStr">
        <is>
          <t>ifrs-full_GrossProfit</t>
        </is>
      </c>
      <c r="H207" t="inlineStr">
        <is>
          <t>매출총이익</t>
        </is>
      </c>
      <c r="I207" t="inlineStr">
        <is>
          <t>20260814002185</t>
        </is>
      </c>
      <c r="J207" s="4" t="inlineStr">
        <is>
          <t>열기</t>
        </is>
      </c>
    </row>
    <row r="208">
      <c r="A208" t="inlineStr">
        <is>
          <t>SK</t>
        </is>
      </c>
      <c r="B208" t="inlineStr">
        <is>
          <t>034730</t>
        </is>
      </c>
      <c r="C208" t="inlineStr">
        <is>
          <t>매출총이익</t>
        </is>
      </c>
      <c r="D208" t="inlineStr">
        <is>
          <t>전년 연간</t>
        </is>
      </c>
      <c r="E208" s="3" t="n">
        <v>9587910000000</v>
      </c>
      <c r="F208" t="inlineStr"/>
      <c r="I208" t="inlineStr">
        <is>
          <t>20260318001157</t>
        </is>
      </c>
      <c r="J208" s="4" t="inlineStr">
        <is>
          <t>열기</t>
        </is>
      </c>
    </row>
    <row r="209">
      <c r="A209" t="inlineStr">
        <is>
          <t>SK</t>
        </is>
      </c>
      <c r="B209" t="inlineStr">
        <is>
          <t>034730</t>
        </is>
      </c>
      <c r="C209" t="inlineStr">
        <is>
          <t>매출총이익</t>
        </is>
      </c>
      <c r="D209" t="inlineStr">
        <is>
          <t>전년 동기 YTD</t>
        </is>
      </c>
      <c r="E209" s="3" t="n">
        <v>4317741000000</v>
      </c>
      <c r="F209" t="inlineStr"/>
      <c r="I209" t="inlineStr">
        <is>
          <t>20250814003843</t>
        </is>
      </c>
      <c r="J209" s="4" t="inlineStr">
        <is>
          <t>열기</t>
        </is>
      </c>
    </row>
    <row r="210">
      <c r="A210" t="inlineStr">
        <is>
          <t>SK</t>
        </is>
      </c>
      <c r="B210" t="inlineStr">
        <is>
          <t>034730</t>
        </is>
      </c>
      <c r="C210" t="inlineStr">
        <is>
          <t>영업이익</t>
        </is>
      </c>
      <c r="D210" t="inlineStr">
        <is>
          <t>당기 YTD</t>
        </is>
      </c>
      <c r="E210" s="3" t="n">
        <v>8514366000000</v>
      </c>
      <c r="F210" t="inlineStr">
        <is>
          <t>id</t>
        </is>
      </c>
      <c r="G210" t="inlineStr">
        <is>
          <t>dart_OperatingIncomeLoss</t>
        </is>
      </c>
      <c r="H210" t="inlineStr">
        <is>
          <t>영업이익</t>
        </is>
      </c>
      <c r="I210" t="inlineStr">
        <is>
          <t>20260814002185</t>
        </is>
      </c>
      <c r="J210" s="4" t="inlineStr">
        <is>
          <t>열기</t>
        </is>
      </c>
    </row>
    <row r="211">
      <c r="A211" t="inlineStr">
        <is>
          <t>SK</t>
        </is>
      </c>
      <c r="B211" t="inlineStr">
        <is>
          <t>034730</t>
        </is>
      </c>
      <c r="C211" t="inlineStr">
        <is>
          <t>영업이익</t>
        </is>
      </c>
      <c r="D211" t="inlineStr">
        <is>
          <t>전년 연간</t>
        </is>
      </c>
      <c r="E211" s="3" t="n">
        <v>1818476000000</v>
      </c>
      <c r="F211" t="inlineStr"/>
      <c r="I211" t="inlineStr">
        <is>
          <t>20260318001157</t>
        </is>
      </c>
      <c r="J211" s="4" t="inlineStr">
        <is>
          <t>열기</t>
        </is>
      </c>
    </row>
    <row r="212">
      <c r="A212" t="inlineStr">
        <is>
          <t>SK</t>
        </is>
      </c>
      <c r="B212" t="inlineStr">
        <is>
          <t>034730</t>
        </is>
      </c>
      <c r="C212" t="inlineStr">
        <is>
          <t>영업이익</t>
        </is>
      </c>
      <c r="D212" t="inlineStr">
        <is>
          <t>전년 동기 YTD</t>
        </is>
      </c>
      <c r="E212" s="3" t="n">
        <v>599335000000</v>
      </c>
      <c r="F212" t="inlineStr"/>
      <c r="I212" t="inlineStr">
        <is>
          <t>20250814003843</t>
        </is>
      </c>
      <c r="J212" s="4" t="inlineStr">
        <is>
          <t>열기</t>
        </is>
      </c>
    </row>
    <row r="213">
      <c r="A213" t="inlineStr">
        <is>
          <t>SK</t>
        </is>
      </c>
      <c r="B213" t="inlineStr">
        <is>
          <t>034730</t>
        </is>
      </c>
      <c r="C213" t="inlineStr">
        <is>
          <t>영업현금흐름</t>
        </is>
      </c>
      <c r="D213" t="inlineStr">
        <is>
          <t>당기 YTD</t>
        </is>
      </c>
      <c r="E213" s="3" t="n">
        <v>4607594000000</v>
      </c>
      <c r="F213" t="inlineStr">
        <is>
          <t>id</t>
        </is>
      </c>
      <c r="G213" t="inlineStr">
        <is>
          <t>ifrs-full_CashFlowsFromUsedInOperatingActivities</t>
        </is>
      </c>
      <c r="H213" t="inlineStr">
        <is>
          <t>영업활동으로 인한 현금흐름</t>
        </is>
      </c>
      <c r="I213" t="inlineStr">
        <is>
          <t>20260814002185</t>
        </is>
      </c>
      <c r="J213" s="4" t="inlineStr">
        <is>
          <t>열기</t>
        </is>
      </c>
    </row>
    <row r="214">
      <c r="A214" t="inlineStr">
        <is>
          <t>SK</t>
        </is>
      </c>
      <c r="B214" t="inlineStr">
        <is>
          <t>034730</t>
        </is>
      </c>
      <c r="C214" t="inlineStr">
        <is>
          <t>영업현금흐름</t>
        </is>
      </c>
      <c r="D214" t="inlineStr">
        <is>
          <t>전년 연간</t>
        </is>
      </c>
      <c r="E214" s="3" t="n">
        <v>6098798000000</v>
      </c>
      <c r="F214" t="inlineStr"/>
      <c r="I214" t="inlineStr">
        <is>
          <t>20260318001157</t>
        </is>
      </c>
      <c r="J214" s="4" t="inlineStr">
        <is>
          <t>열기</t>
        </is>
      </c>
    </row>
    <row r="215">
      <c r="A215" t="inlineStr">
        <is>
          <t>SK</t>
        </is>
      </c>
      <c r="B215" t="inlineStr">
        <is>
          <t>034730</t>
        </is>
      </c>
      <c r="C215" t="inlineStr">
        <is>
          <t>영업현금흐름</t>
        </is>
      </c>
      <c r="D215" t="inlineStr">
        <is>
          <t>전년 동기 YTD</t>
        </is>
      </c>
      <c r="E215" s="3" t="n">
        <v>2759310000000</v>
      </c>
      <c r="F215" t="inlineStr"/>
      <c r="I215" t="inlineStr">
        <is>
          <t>20250814003843</t>
        </is>
      </c>
      <c r="J215" s="4" t="inlineStr">
        <is>
          <t>열기</t>
        </is>
      </c>
    </row>
    <row r="216">
      <c r="A216" t="inlineStr">
        <is>
          <t>SK</t>
        </is>
      </c>
      <c r="B216" t="inlineStr">
        <is>
          <t>034730</t>
        </is>
      </c>
      <c r="C216" t="inlineStr">
        <is>
          <t>지배주주자본</t>
        </is>
      </c>
      <c r="D216" t="inlineStr">
        <is>
          <t>당기말</t>
        </is>
      </c>
      <c r="E216" s="3" t="n">
        <v>37194940000000</v>
      </c>
      <c r="F216" t="inlineStr">
        <is>
          <t>id</t>
        </is>
      </c>
      <c r="G216" t="inlineStr">
        <is>
          <t>ifrs-full_EquityAttributableToOwnersOfParent</t>
        </is>
      </c>
      <c r="H216" t="inlineStr">
        <is>
          <t>지배기업소유주에 귀속되는 자본</t>
        </is>
      </c>
      <c r="I216" t="inlineStr">
        <is>
          <t>20260814002185</t>
        </is>
      </c>
      <c r="J216" s="4" t="inlineStr">
        <is>
          <t>열기</t>
        </is>
      </c>
    </row>
    <row r="217">
      <c r="A217" t="inlineStr">
        <is>
          <t>SK</t>
        </is>
      </c>
      <c r="B217" t="inlineStr">
        <is>
          <t>034730</t>
        </is>
      </c>
      <c r="C217" t="inlineStr">
        <is>
          <t>지배주주자본</t>
        </is>
      </c>
      <c r="D217" t="inlineStr">
        <is>
          <t>전년 동기말</t>
        </is>
      </c>
      <c r="E217" s="3" t="n">
        <v>26144793000000</v>
      </c>
      <c r="F217" t="inlineStr"/>
      <c r="I217" t="inlineStr">
        <is>
          <t>20250814003843</t>
        </is>
      </c>
      <c r="J217" s="4" t="inlineStr">
        <is>
          <t>열기</t>
        </is>
      </c>
    </row>
    <row r="218">
      <c r="A218" t="inlineStr">
        <is>
          <t>SK</t>
        </is>
      </c>
      <c r="B218" t="inlineStr">
        <is>
          <t>034730</t>
        </is>
      </c>
      <c r="C218" t="inlineStr">
        <is>
          <t>자산총계</t>
        </is>
      </c>
      <c r="D218" t="inlineStr">
        <is>
          <t>당기말</t>
        </is>
      </c>
      <c r="E218" s="3" t="n">
        <v>244883396000000</v>
      </c>
      <c r="F218" t="inlineStr">
        <is>
          <t>id</t>
        </is>
      </c>
      <c r="G218" t="inlineStr">
        <is>
          <t>ifrs-full_Assets</t>
        </is>
      </c>
      <c r="H218" t="inlineStr">
        <is>
          <t>자산총계</t>
        </is>
      </c>
      <c r="I218" t="inlineStr">
        <is>
          <t>20260814002185</t>
        </is>
      </c>
      <c r="J218" s="4" t="inlineStr">
        <is>
          <t>열기</t>
        </is>
      </c>
    </row>
    <row r="219">
      <c r="A219" t="inlineStr">
        <is>
          <t>SK</t>
        </is>
      </c>
      <c r="B219" t="inlineStr">
        <is>
          <t>034730</t>
        </is>
      </c>
      <c r="C219" t="inlineStr">
        <is>
          <t>자산총계</t>
        </is>
      </c>
      <c r="D219" t="inlineStr">
        <is>
          <t>전년 동기말</t>
        </is>
      </c>
      <c r="E219" s="3" t="n">
        <v>206385526000000</v>
      </c>
      <c r="F219" t="inlineStr"/>
      <c r="I219" t="inlineStr">
        <is>
          <t>20250814003843</t>
        </is>
      </c>
      <c r="J219" s="4" t="inlineStr">
        <is>
          <t>열기</t>
        </is>
      </c>
    </row>
    <row r="220">
      <c r="A220" t="inlineStr">
        <is>
          <t>SK</t>
        </is>
      </c>
      <c r="B220" t="inlineStr">
        <is>
          <t>034730</t>
        </is>
      </c>
      <c r="C220" t="inlineStr">
        <is>
          <t>이자부부채</t>
        </is>
      </c>
      <c r="D220" t="inlineStr">
        <is>
          <t>당기말</t>
        </is>
      </c>
      <c r="E220" s="3" t="n">
        <v>72211754000000</v>
      </c>
      <c r="F220" t="inlineStr">
        <is>
          <t>id</t>
        </is>
      </c>
      <c r="G220" t="inlineStr">
        <is>
          <t>ifrs-full_CurrentPortionOfLongtermBorrowings + ifrs-full_LongtermBorrowings + -표준계정코드 미사용-</t>
        </is>
      </c>
      <c r="H220" t="inlineStr">
        <is>
          <t>유동성장기부채 + 사채및장기차입금 + 단기차입금</t>
        </is>
      </c>
      <c r="I220" t="inlineStr">
        <is>
          <t>20260814002185</t>
        </is>
      </c>
      <c r="J220" s="4" t="inlineStr">
        <is>
          <t>열기</t>
        </is>
      </c>
    </row>
    <row r="221">
      <c r="A221" t="inlineStr">
        <is>
          <t>SK</t>
        </is>
      </c>
      <c r="B221" t="inlineStr">
        <is>
          <t>034730</t>
        </is>
      </c>
      <c r="C221" t="inlineStr">
        <is>
          <t>이자부부채</t>
        </is>
      </c>
      <c r="D221" t="inlineStr">
        <is>
          <t>전년 동기말</t>
        </is>
      </c>
      <c r="E221" s="3" t="n">
        <v>82473213000000</v>
      </c>
      <c r="F221" t="inlineStr"/>
      <c r="I221" t="inlineStr">
        <is>
          <t>20250814003843</t>
        </is>
      </c>
      <c r="J221" s="4" t="inlineStr">
        <is>
          <t>열기</t>
        </is>
      </c>
    </row>
    <row r="222">
      <c r="A222" t="inlineStr">
        <is>
          <t>SK</t>
        </is>
      </c>
      <c r="B222" t="inlineStr">
        <is>
          <t>034730</t>
        </is>
      </c>
      <c r="C222" t="inlineStr">
        <is>
          <t>현금성자산</t>
        </is>
      </c>
      <c r="D222" t="inlineStr">
        <is>
          <t>당기말</t>
        </is>
      </c>
      <c r="E222" s="3" t="n">
        <v>23838582000000</v>
      </c>
      <c r="F222" t="inlineStr">
        <is>
          <t>id</t>
        </is>
      </c>
      <c r="G222" t="inlineStr">
        <is>
          <t>ifrs-full_CashAndCashEquivalents</t>
        </is>
      </c>
      <c r="H222" t="inlineStr">
        <is>
          <t>현금및현금성자산</t>
        </is>
      </c>
      <c r="I222" t="inlineStr">
        <is>
          <t>20260814002185</t>
        </is>
      </c>
      <c r="J222" s="4" t="inlineStr">
        <is>
          <t>열기</t>
        </is>
      </c>
    </row>
    <row r="223">
      <c r="A223" t="inlineStr">
        <is>
          <t>SK</t>
        </is>
      </c>
      <c r="B223" t="inlineStr">
        <is>
          <t>034730</t>
        </is>
      </c>
      <c r="C223" t="inlineStr">
        <is>
          <t>현금성자산</t>
        </is>
      </c>
      <c r="D223" t="inlineStr">
        <is>
          <t>전년 동기말</t>
        </is>
      </c>
      <c r="E223" s="3" t="n">
        <v>21494710000000</v>
      </c>
      <c r="F223" t="inlineStr"/>
      <c r="I223" t="inlineStr">
        <is>
          <t>20250814003843</t>
        </is>
      </c>
      <c r="J223" s="4" t="inlineStr">
        <is>
          <t>열기</t>
        </is>
      </c>
    </row>
    <row r="224">
      <c r="A224" t="inlineStr">
        <is>
          <t>SK</t>
        </is>
      </c>
      <c r="B224" t="inlineStr">
        <is>
          <t>034730</t>
        </is>
      </c>
      <c r="C224" t="inlineStr">
        <is>
          <t>단기금융상품</t>
        </is>
      </c>
      <c r="D224" t="inlineStr">
        <is>
          <t>당기말</t>
        </is>
      </c>
      <c r="E224" s="3" t="n">
        <v>3616739000000</v>
      </c>
      <c r="F224" t="inlineStr">
        <is>
          <t>id</t>
        </is>
      </c>
      <c r="G224" t="inlineStr">
        <is>
          <t>ifrs-full_ShorttermDepositsNotClassifiedAsCashEquivalents</t>
        </is>
      </c>
      <c r="H224" t="inlineStr">
        <is>
          <t>단기금융상품</t>
        </is>
      </c>
      <c r="I224" t="inlineStr">
        <is>
          <t>20260814002185</t>
        </is>
      </c>
      <c r="J224" s="4" t="inlineStr">
        <is>
          <t>열기</t>
        </is>
      </c>
    </row>
    <row r="225">
      <c r="A225" t="inlineStr">
        <is>
          <t>SK</t>
        </is>
      </c>
      <c r="B225" t="inlineStr">
        <is>
          <t>034730</t>
        </is>
      </c>
      <c r="C225" t="inlineStr">
        <is>
          <t>단기금융상품</t>
        </is>
      </c>
      <c r="D225" t="inlineStr">
        <is>
          <t>전년 동기말</t>
        </is>
      </c>
      <c r="E225" s="3" t="n">
        <v>3845079000000</v>
      </c>
      <c r="F225" t="inlineStr"/>
      <c r="I225" t="inlineStr">
        <is>
          <t>20250814003843</t>
        </is>
      </c>
      <c r="J225" s="4" t="inlineStr">
        <is>
          <t>열기</t>
        </is>
      </c>
    </row>
    <row r="226">
      <c r="A226" t="inlineStr">
        <is>
          <t>한주라이트메탈</t>
        </is>
      </c>
      <c r="B226" t="inlineStr">
        <is>
          <t>198940</t>
        </is>
      </c>
      <c r="C226" t="inlineStr">
        <is>
          <t>지배주주순이익</t>
        </is>
      </c>
      <c r="D226" t="inlineStr">
        <is>
          <t>당기 YTD</t>
        </is>
      </c>
      <c r="E226" s="3" t="n">
        <v>716755534</v>
      </c>
      <c r="F226" t="inlineStr">
        <is>
          <t>id</t>
        </is>
      </c>
      <c r="G226" t="inlineStr">
        <is>
          <t>ifrs-full_ProfitLossAttributableToOwnersOfParent</t>
        </is>
      </c>
      <c r="H226" t="inlineStr">
        <is>
          <t>지배기업의 소유주에게 귀속되는 당기순이익(손실)</t>
        </is>
      </c>
      <c r="I226" t="inlineStr">
        <is>
          <t>20260930000262</t>
        </is>
      </c>
      <c r="J226" s="4" t="inlineStr">
        <is>
          <t>열기</t>
        </is>
      </c>
    </row>
    <row r="227">
      <c r="A227" t="inlineStr">
        <is>
          <t>한주라이트메탈</t>
        </is>
      </c>
      <c r="B227" t="inlineStr">
        <is>
          <t>198940</t>
        </is>
      </c>
      <c r="C227" t="inlineStr">
        <is>
          <t>지배주주순이익</t>
        </is>
      </c>
      <c r="D227" t="inlineStr">
        <is>
          <t>전년 연간</t>
        </is>
      </c>
      <c r="E227" s="3" t="n">
        <v>-2741692510</v>
      </c>
      <c r="F227" t="inlineStr"/>
      <c r="I227" t="inlineStr">
        <is>
          <t>20260317000438</t>
        </is>
      </c>
      <c r="J227" s="4" t="inlineStr">
        <is>
          <t>열기</t>
        </is>
      </c>
    </row>
    <row r="228">
      <c r="A228" t="inlineStr">
        <is>
          <t>한주라이트메탈</t>
        </is>
      </c>
      <c r="B228" t="inlineStr">
        <is>
          <t>198940</t>
        </is>
      </c>
      <c r="C228" t="inlineStr">
        <is>
          <t>지배주주순이익</t>
        </is>
      </c>
      <c r="D228" t="inlineStr">
        <is>
          <t>전년 동기 YTD</t>
        </is>
      </c>
      <c r="E228" s="3" t="n">
        <v>-113861141</v>
      </c>
      <c r="F228" t="inlineStr"/>
      <c r="I228" t="inlineStr">
        <is>
          <t>20250813000456</t>
        </is>
      </c>
      <c r="J228" s="4" t="inlineStr">
        <is>
          <t>열기</t>
        </is>
      </c>
    </row>
    <row r="229">
      <c r="A229" t="inlineStr">
        <is>
          <t>한주라이트메탈</t>
        </is>
      </c>
      <c r="B229" t="inlineStr">
        <is>
          <t>198940</t>
        </is>
      </c>
      <c r="C229" t="inlineStr">
        <is>
          <t>당기순이익</t>
        </is>
      </c>
      <c r="D229" t="inlineStr">
        <is>
          <t>당기 YTD</t>
        </is>
      </c>
      <c r="E229" s="3" t="n">
        <v>716755534</v>
      </c>
      <c r="F229" t="inlineStr">
        <is>
          <t>id</t>
        </is>
      </c>
      <c r="G229" t="inlineStr">
        <is>
          <t>ifrs-full_ProfitLoss</t>
        </is>
      </c>
      <c r="H229" t="inlineStr">
        <is>
          <t>당기순이익(손실)</t>
        </is>
      </c>
      <c r="I229" t="inlineStr">
        <is>
          <t>20260930000262</t>
        </is>
      </c>
      <c r="J229" s="4" t="inlineStr">
        <is>
          <t>열기</t>
        </is>
      </c>
    </row>
    <row r="230">
      <c r="A230" t="inlineStr">
        <is>
          <t>한주라이트메탈</t>
        </is>
      </c>
      <c r="B230" t="inlineStr">
        <is>
          <t>198940</t>
        </is>
      </c>
      <c r="C230" t="inlineStr">
        <is>
          <t>당기순이익</t>
        </is>
      </c>
      <c r="D230" t="inlineStr">
        <is>
          <t>전년 연간</t>
        </is>
      </c>
      <c r="E230" s="3" t="n">
        <v>-2741692510</v>
      </c>
      <c r="F230" t="inlineStr"/>
      <c r="I230" t="inlineStr">
        <is>
          <t>20260317000438</t>
        </is>
      </c>
      <c r="J230" s="4" t="inlineStr">
        <is>
          <t>열기</t>
        </is>
      </c>
    </row>
    <row r="231">
      <c r="A231" t="inlineStr">
        <is>
          <t>한주라이트메탈</t>
        </is>
      </c>
      <c r="B231" t="inlineStr">
        <is>
          <t>198940</t>
        </is>
      </c>
      <c r="C231" t="inlineStr">
        <is>
          <t>당기순이익</t>
        </is>
      </c>
      <c r="D231" t="inlineStr">
        <is>
          <t>전년 동기 YTD</t>
        </is>
      </c>
      <c r="E231" s="3" t="n">
        <v>-113861141</v>
      </c>
      <c r="F231" t="inlineStr"/>
      <c r="I231" t="inlineStr">
        <is>
          <t>20250813000456</t>
        </is>
      </c>
      <c r="J231" s="4" t="inlineStr">
        <is>
          <t>열기</t>
        </is>
      </c>
    </row>
    <row r="232">
      <c r="A232" t="inlineStr">
        <is>
          <t>한주라이트메탈</t>
        </is>
      </c>
      <c r="B232" t="inlineStr">
        <is>
          <t>198940</t>
        </is>
      </c>
      <c r="C232" t="inlineStr">
        <is>
          <t>매출액</t>
        </is>
      </c>
      <c r="D232" t="inlineStr">
        <is>
          <t>당기 YTD</t>
        </is>
      </c>
      <c r="E232" s="3" t="n">
        <v>135695919811</v>
      </c>
      <c r="F232" t="inlineStr">
        <is>
          <t>id</t>
        </is>
      </c>
      <c r="G232" t="inlineStr">
        <is>
          <t>ifrs-full_Revenue</t>
        </is>
      </c>
      <c r="H232" t="inlineStr">
        <is>
          <t>수익</t>
        </is>
      </c>
      <c r="I232" t="inlineStr">
        <is>
          <t>20260930000262</t>
        </is>
      </c>
      <c r="J232" s="4" t="inlineStr">
        <is>
          <t>열기</t>
        </is>
      </c>
    </row>
    <row r="233">
      <c r="A233" t="inlineStr">
        <is>
          <t>한주라이트메탈</t>
        </is>
      </c>
      <c r="B233" t="inlineStr">
        <is>
          <t>198940</t>
        </is>
      </c>
      <c r="C233" t="inlineStr">
        <is>
          <t>매출액</t>
        </is>
      </c>
      <c r="D233" t="inlineStr">
        <is>
          <t>전년 연간</t>
        </is>
      </c>
      <c r="E233" s="3" t="n">
        <v>259464652455</v>
      </c>
      <c r="F233" t="inlineStr"/>
      <c r="I233" t="inlineStr">
        <is>
          <t>20260317000438</t>
        </is>
      </c>
      <c r="J233" s="4" t="inlineStr">
        <is>
          <t>열기</t>
        </is>
      </c>
    </row>
    <row r="234">
      <c r="A234" t="inlineStr">
        <is>
          <t>한주라이트메탈</t>
        </is>
      </c>
      <c r="B234" t="inlineStr">
        <is>
          <t>198940</t>
        </is>
      </c>
      <c r="C234" t="inlineStr">
        <is>
          <t>매출액</t>
        </is>
      </c>
      <c r="D234" t="inlineStr">
        <is>
          <t>전년 동기 YTD</t>
        </is>
      </c>
      <c r="E234" s="3" t="n">
        <v>135325665657</v>
      </c>
      <c r="F234" t="inlineStr"/>
      <c r="I234" t="inlineStr">
        <is>
          <t>20250813000456</t>
        </is>
      </c>
      <c r="J234" s="4" t="inlineStr">
        <is>
          <t>열기</t>
        </is>
      </c>
    </row>
    <row r="235">
      <c r="A235" t="inlineStr">
        <is>
          <t>한주라이트메탈</t>
        </is>
      </c>
      <c r="B235" t="inlineStr">
        <is>
          <t>198940</t>
        </is>
      </c>
      <c r="C235" t="inlineStr">
        <is>
          <t>매출총이익</t>
        </is>
      </c>
      <c r="D235" t="inlineStr">
        <is>
          <t>당기 YTD</t>
        </is>
      </c>
      <c r="E235" s="3" t="n">
        <v>8104740848</v>
      </c>
      <c r="F235" t="inlineStr">
        <is>
          <t>id</t>
        </is>
      </c>
      <c r="G235" t="inlineStr">
        <is>
          <t>ifrs-full_GrossProfit</t>
        </is>
      </c>
      <c r="H235" t="inlineStr">
        <is>
          <t>매출총이익</t>
        </is>
      </c>
      <c r="I235" t="inlineStr">
        <is>
          <t>20260930000262</t>
        </is>
      </c>
      <c r="J235" s="4" t="inlineStr">
        <is>
          <t>열기</t>
        </is>
      </c>
    </row>
    <row r="236">
      <c r="A236" t="inlineStr">
        <is>
          <t>한주라이트메탈</t>
        </is>
      </c>
      <c r="B236" t="inlineStr">
        <is>
          <t>198940</t>
        </is>
      </c>
      <c r="C236" t="inlineStr">
        <is>
          <t>매출총이익</t>
        </is>
      </c>
      <c r="D236" t="inlineStr">
        <is>
          <t>전년 연간</t>
        </is>
      </c>
      <c r="E236" s="3" t="n">
        <v>11678757305</v>
      </c>
      <c r="F236" t="inlineStr"/>
      <c r="I236" t="inlineStr">
        <is>
          <t>20260317000438</t>
        </is>
      </c>
      <c r="J236" s="4" t="inlineStr">
        <is>
          <t>열기</t>
        </is>
      </c>
    </row>
    <row r="237">
      <c r="A237" t="inlineStr">
        <is>
          <t>한주라이트메탈</t>
        </is>
      </c>
      <c r="B237" t="inlineStr">
        <is>
          <t>198940</t>
        </is>
      </c>
      <c r="C237" t="inlineStr">
        <is>
          <t>매출총이익</t>
        </is>
      </c>
      <c r="D237" t="inlineStr">
        <is>
          <t>전년 동기 YTD</t>
        </is>
      </c>
      <c r="E237" s="3" t="n">
        <v>8763639563</v>
      </c>
      <c r="F237" t="inlineStr"/>
      <c r="I237" t="inlineStr">
        <is>
          <t>20250813000456</t>
        </is>
      </c>
      <c r="J237" s="4" t="inlineStr">
        <is>
          <t>열기</t>
        </is>
      </c>
    </row>
    <row r="238">
      <c r="A238" t="inlineStr">
        <is>
          <t>한주라이트메탈</t>
        </is>
      </c>
      <c r="B238" t="inlineStr">
        <is>
          <t>198940</t>
        </is>
      </c>
      <c r="C238" t="inlineStr">
        <is>
          <t>영업이익</t>
        </is>
      </c>
      <c r="D238" t="inlineStr">
        <is>
          <t>당기 YTD</t>
        </is>
      </c>
      <c r="E238" s="3" t="n">
        <v>3822138288</v>
      </c>
      <c r="F238" t="inlineStr">
        <is>
          <t>id</t>
        </is>
      </c>
      <c r="G238" t="inlineStr">
        <is>
          <t>dart_OperatingIncomeLoss</t>
        </is>
      </c>
      <c r="H238" t="inlineStr">
        <is>
          <t>영업이익(손실)</t>
        </is>
      </c>
      <c r="I238" t="inlineStr">
        <is>
          <t>20260930000262</t>
        </is>
      </c>
      <c r="J238" s="4" t="inlineStr">
        <is>
          <t>열기</t>
        </is>
      </c>
    </row>
    <row r="239">
      <c r="A239" t="inlineStr">
        <is>
          <t>한주라이트메탈</t>
        </is>
      </c>
      <c r="B239" t="inlineStr">
        <is>
          <t>198940</t>
        </is>
      </c>
      <c r="C239" t="inlineStr">
        <is>
          <t>영업이익</t>
        </is>
      </c>
      <c r="D239" t="inlineStr">
        <is>
          <t>전년 연간</t>
        </is>
      </c>
      <c r="E239" s="3" t="n">
        <v>1333662111</v>
      </c>
      <c r="F239" t="inlineStr"/>
      <c r="I239" t="inlineStr">
        <is>
          <t>20260317000438</t>
        </is>
      </c>
      <c r="J239" s="4" t="inlineStr">
        <is>
          <t>열기</t>
        </is>
      </c>
    </row>
    <row r="240">
      <c r="A240" t="inlineStr">
        <is>
          <t>한주라이트메탈</t>
        </is>
      </c>
      <c r="B240" t="inlineStr">
        <is>
          <t>198940</t>
        </is>
      </c>
      <c r="C240" t="inlineStr">
        <is>
          <t>영업이익</t>
        </is>
      </c>
      <c r="D240" t="inlineStr">
        <is>
          <t>전년 동기 YTD</t>
        </is>
      </c>
      <c r="E240" s="3" t="n">
        <v>4393909052</v>
      </c>
      <c r="F240" t="inlineStr"/>
      <c r="I240" t="inlineStr">
        <is>
          <t>20250813000456</t>
        </is>
      </c>
      <c r="J240" s="4" t="inlineStr">
        <is>
          <t>열기</t>
        </is>
      </c>
    </row>
    <row r="241">
      <c r="A241" t="inlineStr">
        <is>
          <t>한주라이트메탈</t>
        </is>
      </c>
      <c r="B241" t="inlineStr">
        <is>
          <t>198940</t>
        </is>
      </c>
      <c r="C241" t="inlineStr">
        <is>
          <t>영업현금흐름</t>
        </is>
      </c>
      <c r="D241" t="inlineStr">
        <is>
          <t>당기 YTD</t>
        </is>
      </c>
      <c r="E241" s="3" t="n">
        <v>-17538895506</v>
      </c>
      <c r="F241" t="inlineStr">
        <is>
          <t>id</t>
        </is>
      </c>
      <c r="G241" t="inlineStr">
        <is>
          <t>ifrs-full_CashFlowsFromUsedInOperatingActivities</t>
        </is>
      </c>
      <c r="H241" t="inlineStr">
        <is>
          <t>영업활동현금흐름</t>
        </is>
      </c>
      <c r="I241" t="inlineStr">
        <is>
          <t>20260930000262</t>
        </is>
      </c>
      <c r="J241" s="4" t="inlineStr">
        <is>
          <t>열기</t>
        </is>
      </c>
    </row>
    <row r="242">
      <c r="A242" t="inlineStr">
        <is>
          <t>한주라이트메탈</t>
        </is>
      </c>
      <c r="B242" t="inlineStr">
        <is>
          <t>198940</t>
        </is>
      </c>
      <c r="C242" t="inlineStr">
        <is>
          <t>영업현금흐름</t>
        </is>
      </c>
      <c r="D242" t="inlineStr">
        <is>
          <t>전년 연간</t>
        </is>
      </c>
      <c r="E242" s="3" t="n">
        <v>11627330062</v>
      </c>
      <c r="F242" t="inlineStr"/>
      <c r="I242" t="inlineStr">
        <is>
          <t>20260317000438</t>
        </is>
      </c>
      <c r="J242" s="4" t="inlineStr">
        <is>
          <t>열기</t>
        </is>
      </c>
    </row>
    <row r="243">
      <c r="A243" t="inlineStr">
        <is>
          <t>한주라이트메탈</t>
        </is>
      </c>
      <c r="B243" t="inlineStr">
        <is>
          <t>198940</t>
        </is>
      </c>
      <c r="C243" t="inlineStr">
        <is>
          <t>영업현금흐름</t>
        </is>
      </c>
      <c r="D243" t="inlineStr">
        <is>
          <t>전년 동기 YTD</t>
        </is>
      </c>
      <c r="E243" s="3" t="n">
        <v>-3441190272</v>
      </c>
      <c r="F243" t="inlineStr"/>
      <c r="I243" t="inlineStr">
        <is>
          <t>20250813000456</t>
        </is>
      </c>
      <c r="J243" s="4" t="inlineStr">
        <is>
          <t>열기</t>
        </is>
      </c>
    </row>
    <row r="244">
      <c r="A244" t="inlineStr">
        <is>
          <t>한주라이트메탈</t>
        </is>
      </c>
      <c r="B244" t="inlineStr">
        <is>
          <t>198940</t>
        </is>
      </c>
      <c r="C244" t="inlineStr">
        <is>
          <t>지배주주자본</t>
        </is>
      </c>
      <c r="D244" t="inlineStr">
        <is>
          <t>당기말</t>
        </is>
      </c>
      <c r="E244" s="3" t="n">
        <v>48295311206</v>
      </c>
      <c r="F244" t="inlineStr">
        <is>
          <t>id</t>
        </is>
      </c>
      <c r="G244" t="inlineStr">
        <is>
          <t>ifrs-full_EquityAttributableToOwnersOfParent</t>
        </is>
      </c>
      <c r="H244" t="inlineStr">
        <is>
          <t>지배기업의 소유주에게 귀속되는 자본</t>
        </is>
      </c>
      <c r="I244" t="inlineStr">
        <is>
          <t>20260930000262</t>
        </is>
      </c>
      <c r="J244" s="4" t="inlineStr">
        <is>
          <t>열기</t>
        </is>
      </c>
    </row>
    <row r="245">
      <c r="A245" t="inlineStr">
        <is>
          <t>한주라이트메탈</t>
        </is>
      </c>
      <c r="B245" t="inlineStr">
        <is>
          <t>198940</t>
        </is>
      </c>
      <c r="C245" t="inlineStr">
        <is>
          <t>지배주주자본</t>
        </is>
      </c>
      <c r="D245" t="inlineStr">
        <is>
          <t>전년 동기말</t>
        </is>
      </c>
      <c r="E245" s="3" t="n">
        <v>48758181161</v>
      </c>
      <c r="F245" t="inlineStr"/>
      <c r="I245" t="inlineStr">
        <is>
          <t>20250813000456</t>
        </is>
      </c>
      <c r="J245" s="4" t="inlineStr">
        <is>
          <t>열기</t>
        </is>
      </c>
    </row>
    <row r="246">
      <c r="A246" t="inlineStr">
        <is>
          <t>한주라이트메탈</t>
        </is>
      </c>
      <c r="B246" t="inlineStr">
        <is>
          <t>198940</t>
        </is>
      </c>
      <c r="C246" t="inlineStr">
        <is>
          <t>자산총계</t>
        </is>
      </c>
      <c r="D246" t="inlineStr">
        <is>
          <t>당기말</t>
        </is>
      </c>
      <c r="E246" s="3" t="n">
        <v>217097585584</v>
      </c>
      <c r="F246" t="inlineStr">
        <is>
          <t>id</t>
        </is>
      </c>
      <c r="G246" t="inlineStr">
        <is>
          <t>ifrs-full_Assets</t>
        </is>
      </c>
      <c r="H246" t="inlineStr">
        <is>
          <t>자산총계</t>
        </is>
      </c>
      <c r="I246" t="inlineStr">
        <is>
          <t>20260930000262</t>
        </is>
      </c>
      <c r="J246" s="4" t="inlineStr">
        <is>
          <t>열기</t>
        </is>
      </c>
    </row>
    <row r="247">
      <c r="A247" t="inlineStr">
        <is>
          <t>한주라이트메탈</t>
        </is>
      </c>
      <c r="B247" t="inlineStr">
        <is>
          <t>198940</t>
        </is>
      </c>
      <c r="C247" t="inlineStr">
        <is>
          <t>자산총계</t>
        </is>
      </c>
      <c r="D247" t="inlineStr">
        <is>
          <t>전년 동기말</t>
        </is>
      </c>
      <c r="E247" s="3" t="n">
        <v>217262765598</v>
      </c>
      <c r="F247" t="inlineStr"/>
      <c r="I247" t="inlineStr">
        <is>
          <t>20250813000456</t>
        </is>
      </c>
      <c r="J247" s="4" t="inlineStr">
        <is>
          <t>열기</t>
        </is>
      </c>
    </row>
    <row r="248">
      <c r="A248" t="inlineStr">
        <is>
          <t>한주라이트메탈</t>
        </is>
      </c>
      <c r="B248" t="inlineStr">
        <is>
          <t>198940</t>
        </is>
      </c>
      <c r="C248" t="inlineStr">
        <is>
          <t>이자부부채</t>
        </is>
      </c>
      <c r="D248" t="inlineStr">
        <is>
          <t>당기말</t>
        </is>
      </c>
      <c r="E248" s="3" t="n">
        <v>83576743233</v>
      </c>
      <c r="F248" t="inlineStr">
        <is>
          <t>id</t>
        </is>
      </c>
      <c r="G248" t="inlineStr">
        <is>
          <t>dart_CurrentLoansReceived + dart_CurrentPortionOfConvertibleBonds + dart_NoncurrentBondsIssued + dart_NoncurrentLoansReceived</t>
        </is>
      </c>
      <c r="H248" t="inlineStr">
        <is>
          <t>단기 금융기관 차입금(사채 제외) + 유동성전환사채 + 장기 사채 + 장기 금융기관 차입금(사채 제외)</t>
        </is>
      </c>
      <c r="I248" t="inlineStr">
        <is>
          <t>20260930000262</t>
        </is>
      </c>
      <c r="J248" s="4" t="inlineStr">
        <is>
          <t>열기</t>
        </is>
      </c>
    </row>
    <row r="249">
      <c r="A249" t="inlineStr">
        <is>
          <t>한주라이트메탈</t>
        </is>
      </c>
      <c r="B249" t="inlineStr">
        <is>
          <t>198940</t>
        </is>
      </c>
      <c r="C249" t="inlineStr">
        <is>
          <t>이자부부채</t>
        </is>
      </c>
      <c r="D249" t="inlineStr">
        <is>
          <t>전년 동기말</t>
        </is>
      </c>
      <c r="E249" s="3" t="n">
        <v>96189239830</v>
      </c>
      <c r="F249" t="inlineStr"/>
      <c r="I249" t="inlineStr">
        <is>
          <t>20250813000456</t>
        </is>
      </c>
      <c r="J249" s="4" t="inlineStr">
        <is>
          <t>열기</t>
        </is>
      </c>
    </row>
    <row r="250">
      <c r="A250" t="inlineStr">
        <is>
          <t>한주라이트메탈</t>
        </is>
      </c>
      <c r="B250" t="inlineStr">
        <is>
          <t>198940</t>
        </is>
      </c>
      <c r="C250" t="inlineStr">
        <is>
          <t>현금성자산</t>
        </is>
      </c>
      <c r="D250" t="inlineStr">
        <is>
          <t>당기말</t>
        </is>
      </c>
      <c r="E250" s="3" t="n">
        <v>6217797610</v>
      </c>
      <c r="F250" t="inlineStr">
        <is>
          <t>id</t>
        </is>
      </c>
      <c r="G250" t="inlineStr">
        <is>
          <t>ifrs-full_CashAndCashEquivalents</t>
        </is>
      </c>
      <c r="H250" t="inlineStr">
        <is>
          <t>현금및현금성자산</t>
        </is>
      </c>
      <c r="I250" t="inlineStr">
        <is>
          <t>20260930000262</t>
        </is>
      </c>
      <c r="J250" s="4" t="inlineStr">
        <is>
          <t>열기</t>
        </is>
      </c>
    </row>
    <row r="251">
      <c r="A251" t="inlineStr">
        <is>
          <t>한주라이트메탈</t>
        </is>
      </c>
      <c r="B251" t="inlineStr">
        <is>
          <t>198940</t>
        </is>
      </c>
      <c r="C251" t="inlineStr">
        <is>
          <t>현금성자산</t>
        </is>
      </c>
      <c r="D251" t="inlineStr">
        <is>
          <t>전년 동기말</t>
        </is>
      </c>
      <c r="E251" s="3" t="n">
        <v>16280580527</v>
      </c>
      <c r="F251" t="inlineStr"/>
      <c r="I251" t="inlineStr">
        <is>
          <t>20250813000456</t>
        </is>
      </c>
      <c r="J251" s="4" t="inlineStr">
        <is>
          <t>열기</t>
        </is>
      </c>
    </row>
    <row r="252">
      <c r="A252" t="inlineStr">
        <is>
          <t>한주라이트메탈</t>
        </is>
      </c>
      <c r="B252" t="inlineStr">
        <is>
          <t>198940</t>
        </is>
      </c>
      <c r="C252" t="inlineStr">
        <is>
          <t>단기금융상품</t>
        </is>
      </c>
      <c r="D252" t="inlineStr">
        <is>
          <t>당기말</t>
        </is>
      </c>
      <c r="E252" s="3" t="n">
        <v>1568000000</v>
      </c>
      <c r="F252" t="inlineStr">
        <is>
          <t>id</t>
        </is>
      </c>
      <c r="G252" t="inlineStr">
        <is>
          <t>ifrs-full_ShorttermDepositsNotClassifiedAsCashEquivalents</t>
        </is>
      </c>
      <c r="H252" t="inlineStr">
        <is>
          <t>단기금융상품</t>
        </is>
      </c>
      <c r="I252" t="inlineStr">
        <is>
          <t>20260930000262</t>
        </is>
      </c>
      <c r="J252" s="4" t="inlineStr">
        <is>
          <t>열기</t>
        </is>
      </c>
    </row>
    <row r="253">
      <c r="A253" t="inlineStr">
        <is>
          <t>한주라이트메탈</t>
        </is>
      </c>
      <c r="B253" t="inlineStr">
        <is>
          <t>198940</t>
        </is>
      </c>
      <c r="C253" t="inlineStr">
        <is>
          <t>단기금융상품</t>
        </is>
      </c>
      <c r="D253" t="inlineStr">
        <is>
          <t>전년 동기말</t>
        </is>
      </c>
      <c r="E253" s="3" t="n">
        <v>1568000000</v>
      </c>
      <c r="F253" t="inlineStr"/>
      <c r="I253" t="inlineStr">
        <is>
          <t>20250813000456</t>
        </is>
      </c>
      <c r="J253" s="4" t="inlineStr">
        <is>
          <t>열기</t>
        </is>
      </c>
    </row>
    <row r="254">
      <c r="A254" t="inlineStr">
        <is>
          <t>메쎄이상</t>
        </is>
      </c>
      <c r="B254" t="inlineStr">
        <is>
          <t>408920</t>
        </is>
      </c>
      <c r="C254" t="inlineStr">
        <is>
          <t>지배주주순이익</t>
        </is>
      </c>
      <c r="D254" t="inlineStr">
        <is>
          <t>당기 YTD</t>
        </is>
      </c>
      <c r="E254" s="3" t="n">
        <v>9977068365</v>
      </c>
      <c r="F254" t="inlineStr">
        <is>
          <t>id</t>
        </is>
      </c>
      <c r="G254" t="inlineStr">
        <is>
          <t>ifrs-full_ProfitLossAttributableToOwnersOfParent</t>
        </is>
      </c>
      <c r="H254" t="inlineStr">
        <is>
          <t>지배기업의 소유주에게 귀속되는 당기순이익(손실)</t>
        </is>
      </c>
      <c r="I254" t="inlineStr">
        <is>
          <t>20260814001277</t>
        </is>
      </c>
      <c r="J254" s="4" t="inlineStr">
        <is>
          <t>열기</t>
        </is>
      </c>
    </row>
    <row r="255">
      <c r="A255" t="inlineStr">
        <is>
          <t>메쎄이상</t>
        </is>
      </c>
      <c r="B255" t="inlineStr">
        <is>
          <t>408920</t>
        </is>
      </c>
      <c r="C255" t="inlineStr">
        <is>
          <t>지배주주순이익</t>
        </is>
      </c>
      <c r="D255" t="inlineStr">
        <is>
          <t>전년 연간</t>
        </is>
      </c>
      <c r="E255" s="3" t="n">
        <v>15505496859</v>
      </c>
      <c r="F255" t="inlineStr"/>
      <c r="I255" t="inlineStr">
        <is>
          <t>20260323001268</t>
        </is>
      </c>
      <c r="J255" s="4" t="inlineStr">
        <is>
          <t>열기</t>
        </is>
      </c>
    </row>
    <row r="256">
      <c r="A256" t="inlineStr">
        <is>
          <t>메쎄이상</t>
        </is>
      </c>
      <c r="B256" t="inlineStr">
        <is>
          <t>408920</t>
        </is>
      </c>
      <c r="C256" t="inlineStr">
        <is>
          <t>지배주주순이익</t>
        </is>
      </c>
      <c r="D256" t="inlineStr">
        <is>
          <t>전년 동기 YTD</t>
        </is>
      </c>
      <c r="E256" s="3" t="n">
        <v>8061177246</v>
      </c>
      <c r="F256" t="inlineStr"/>
      <c r="I256" t="inlineStr">
        <is>
          <t>20250814004442</t>
        </is>
      </c>
      <c r="J256" s="4" t="inlineStr">
        <is>
          <t>열기</t>
        </is>
      </c>
    </row>
    <row r="257">
      <c r="A257" t="inlineStr">
        <is>
          <t>메쎄이상</t>
        </is>
      </c>
      <c r="B257" t="inlineStr">
        <is>
          <t>408920</t>
        </is>
      </c>
      <c r="C257" t="inlineStr">
        <is>
          <t>당기순이익</t>
        </is>
      </c>
      <c r="D257" t="inlineStr">
        <is>
          <t>당기 YTD</t>
        </is>
      </c>
      <c r="E257" s="3" t="n">
        <v>9963934103</v>
      </c>
      <c r="F257" t="inlineStr">
        <is>
          <t>id</t>
        </is>
      </c>
      <c r="G257" t="inlineStr">
        <is>
          <t>ifrs-full_ProfitLoss</t>
        </is>
      </c>
      <c r="H257" t="inlineStr">
        <is>
          <t>당기순이익(손실)</t>
        </is>
      </c>
      <c r="I257" t="inlineStr">
        <is>
          <t>20260814001277</t>
        </is>
      </c>
      <c r="J257" s="4" t="inlineStr">
        <is>
          <t>열기</t>
        </is>
      </c>
    </row>
    <row r="258">
      <c r="A258" t="inlineStr">
        <is>
          <t>메쎄이상</t>
        </is>
      </c>
      <c r="B258" t="inlineStr">
        <is>
          <t>408920</t>
        </is>
      </c>
      <c r="C258" t="inlineStr">
        <is>
          <t>당기순이익</t>
        </is>
      </c>
      <c r="D258" t="inlineStr">
        <is>
          <t>전년 연간</t>
        </is>
      </c>
      <c r="E258" s="3" t="n">
        <v>15474045546</v>
      </c>
      <c r="F258" t="inlineStr"/>
      <c r="I258" t="inlineStr">
        <is>
          <t>20260323001268</t>
        </is>
      </c>
      <c r="J258" s="4" t="inlineStr">
        <is>
          <t>열기</t>
        </is>
      </c>
    </row>
    <row r="259">
      <c r="A259" t="inlineStr">
        <is>
          <t>메쎄이상</t>
        </is>
      </c>
      <c r="B259" t="inlineStr">
        <is>
          <t>408920</t>
        </is>
      </c>
      <c r="C259" t="inlineStr">
        <is>
          <t>당기순이익</t>
        </is>
      </c>
      <c r="D259" t="inlineStr">
        <is>
          <t>전년 동기 YTD</t>
        </is>
      </c>
      <c r="E259" s="3" t="n">
        <v>8038326713</v>
      </c>
      <c r="F259" t="inlineStr"/>
      <c r="I259" t="inlineStr">
        <is>
          <t>20250814004442</t>
        </is>
      </c>
      <c r="J259" s="4" t="inlineStr">
        <is>
          <t>열기</t>
        </is>
      </c>
    </row>
    <row r="260">
      <c r="A260" t="inlineStr">
        <is>
          <t>메쎄이상</t>
        </is>
      </c>
      <c r="B260" t="inlineStr">
        <is>
          <t>408920</t>
        </is>
      </c>
      <c r="C260" t="inlineStr">
        <is>
          <t>매출액</t>
        </is>
      </c>
      <c r="D260" t="inlineStr">
        <is>
          <t>당기 YTD</t>
        </is>
      </c>
      <c r="E260" s="3" t="n">
        <v>35949028477</v>
      </c>
      <c r="F260" t="inlineStr">
        <is>
          <t>id</t>
        </is>
      </c>
      <c r="G260" t="inlineStr">
        <is>
          <t>ifrs-full_Revenue</t>
        </is>
      </c>
      <c r="H260" t="inlineStr">
        <is>
          <t>수익</t>
        </is>
      </c>
      <c r="I260" t="inlineStr">
        <is>
          <t>20260814001277</t>
        </is>
      </c>
      <c r="J260" s="4" t="inlineStr">
        <is>
          <t>열기</t>
        </is>
      </c>
    </row>
    <row r="261">
      <c r="A261" t="inlineStr">
        <is>
          <t>메쎄이상</t>
        </is>
      </c>
      <c r="B261" t="inlineStr">
        <is>
          <t>408920</t>
        </is>
      </c>
      <c r="C261" t="inlineStr">
        <is>
          <t>매출액</t>
        </is>
      </c>
      <c r="D261" t="inlineStr">
        <is>
          <t>전년 연간</t>
        </is>
      </c>
      <c r="E261" s="3" t="n">
        <v>72822323336</v>
      </c>
      <c r="F261" t="inlineStr"/>
      <c r="I261" t="inlineStr">
        <is>
          <t>20260323001268</t>
        </is>
      </c>
      <c r="J261" s="4" t="inlineStr">
        <is>
          <t>열기</t>
        </is>
      </c>
    </row>
    <row r="262">
      <c r="A262" t="inlineStr">
        <is>
          <t>메쎄이상</t>
        </is>
      </c>
      <c r="B262" t="inlineStr">
        <is>
          <t>408920</t>
        </is>
      </c>
      <c r="C262" t="inlineStr">
        <is>
          <t>매출액</t>
        </is>
      </c>
      <c r="D262" t="inlineStr">
        <is>
          <t>전년 동기 YTD</t>
        </is>
      </c>
      <c r="E262" s="3" t="n">
        <v>30609513822</v>
      </c>
      <c r="F262" t="inlineStr"/>
      <c r="I262" t="inlineStr">
        <is>
          <t>20250814004442</t>
        </is>
      </c>
      <c r="J262" s="4" t="inlineStr">
        <is>
          <t>열기</t>
        </is>
      </c>
    </row>
    <row r="263">
      <c r="A263" t="inlineStr">
        <is>
          <t>메쎄이상</t>
        </is>
      </c>
      <c r="B263" t="inlineStr">
        <is>
          <t>408920</t>
        </is>
      </c>
      <c r="C263" t="inlineStr">
        <is>
          <t>매출총이익</t>
        </is>
      </c>
      <c r="D263" t="inlineStr">
        <is>
          <t>당기 YTD</t>
        </is>
      </c>
      <c r="E263" s="3" t="n">
        <v>15947101847</v>
      </c>
      <c r="F263" t="inlineStr">
        <is>
          <t>id</t>
        </is>
      </c>
      <c r="G263" t="inlineStr">
        <is>
          <t>ifrs-full_GrossProfit</t>
        </is>
      </c>
      <c r="H263" t="inlineStr">
        <is>
          <t>매출총이익</t>
        </is>
      </c>
      <c r="I263" t="inlineStr">
        <is>
          <t>20260814001277</t>
        </is>
      </c>
      <c r="J263" s="4" t="inlineStr">
        <is>
          <t>열기</t>
        </is>
      </c>
    </row>
    <row r="264">
      <c r="A264" t="inlineStr">
        <is>
          <t>메쎄이상</t>
        </is>
      </c>
      <c r="B264" t="inlineStr">
        <is>
          <t>408920</t>
        </is>
      </c>
      <c r="C264" t="inlineStr">
        <is>
          <t>매출총이익</t>
        </is>
      </c>
      <c r="D264" t="inlineStr">
        <is>
          <t>전년 연간</t>
        </is>
      </c>
      <c r="E264" s="3" t="n">
        <v>26730413948</v>
      </c>
      <c r="F264" t="inlineStr"/>
      <c r="I264" t="inlineStr">
        <is>
          <t>20260323001268</t>
        </is>
      </c>
      <c r="J264" s="4" t="inlineStr">
        <is>
          <t>열기</t>
        </is>
      </c>
    </row>
    <row r="265">
      <c r="A265" t="inlineStr">
        <is>
          <t>메쎄이상</t>
        </is>
      </c>
      <c r="B265" t="inlineStr">
        <is>
          <t>408920</t>
        </is>
      </c>
      <c r="C265" t="inlineStr">
        <is>
          <t>매출총이익</t>
        </is>
      </c>
      <c r="D265" t="inlineStr">
        <is>
          <t>전년 동기 YTD</t>
        </is>
      </c>
      <c r="E265" s="3" t="n">
        <v>13429452013</v>
      </c>
      <c r="F265" t="inlineStr"/>
      <c r="I265" t="inlineStr">
        <is>
          <t>20250814004442</t>
        </is>
      </c>
      <c r="J265" s="4" t="inlineStr">
        <is>
          <t>열기</t>
        </is>
      </c>
    </row>
    <row r="266">
      <c r="A266" t="inlineStr">
        <is>
          <t>메쎄이상</t>
        </is>
      </c>
      <c r="B266" t="inlineStr">
        <is>
          <t>408920</t>
        </is>
      </c>
      <c r="C266" t="inlineStr">
        <is>
          <t>영업이익</t>
        </is>
      </c>
      <c r="D266" t="inlineStr">
        <is>
          <t>당기 YTD</t>
        </is>
      </c>
      <c r="E266" s="3" t="n">
        <v>11602425223</v>
      </c>
      <c r="F266" t="inlineStr">
        <is>
          <t>id</t>
        </is>
      </c>
      <c r="G266" t="inlineStr">
        <is>
          <t>dart_OperatingIncomeLoss</t>
        </is>
      </c>
      <c r="H266" t="inlineStr">
        <is>
          <t>영업이익(손실)</t>
        </is>
      </c>
      <c r="I266" t="inlineStr">
        <is>
          <t>20260814001277</t>
        </is>
      </c>
      <c r="J266" s="4" t="inlineStr">
        <is>
          <t>열기</t>
        </is>
      </c>
    </row>
    <row r="267">
      <c r="A267" t="inlineStr">
        <is>
          <t>메쎄이상</t>
        </is>
      </c>
      <c r="B267" t="inlineStr">
        <is>
          <t>408920</t>
        </is>
      </c>
      <c r="C267" t="inlineStr">
        <is>
          <t>영업이익</t>
        </is>
      </c>
      <c r="D267" t="inlineStr">
        <is>
          <t>전년 연간</t>
        </is>
      </c>
      <c r="E267" s="3" t="n">
        <v>18997461570</v>
      </c>
      <c r="F267" t="inlineStr"/>
      <c r="I267" t="inlineStr">
        <is>
          <t>20260323001268</t>
        </is>
      </c>
      <c r="J267" s="4" t="inlineStr">
        <is>
          <t>열기</t>
        </is>
      </c>
    </row>
    <row r="268">
      <c r="A268" t="inlineStr">
        <is>
          <t>메쎄이상</t>
        </is>
      </c>
      <c r="B268" t="inlineStr">
        <is>
          <t>408920</t>
        </is>
      </c>
      <c r="C268" t="inlineStr">
        <is>
          <t>영업이익</t>
        </is>
      </c>
      <c r="D268" t="inlineStr">
        <is>
          <t>전년 동기 YTD</t>
        </is>
      </c>
      <c r="E268" s="3" t="n">
        <v>9759440404</v>
      </c>
      <c r="F268" t="inlineStr"/>
      <c r="I268" t="inlineStr">
        <is>
          <t>20250814004442</t>
        </is>
      </c>
      <c r="J268" s="4" t="inlineStr">
        <is>
          <t>열기</t>
        </is>
      </c>
    </row>
    <row r="269">
      <c r="A269" t="inlineStr">
        <is>
          <t>메쎄이상</t>
        </is>
      </c>
      <c r="B269" t="inlineStr">
        <is>
          <t>408920</t>
        </is>
      </c>
      <c r="C269" t="inlineStr">
        <is>
          <t>영업현금흐름</t>
        </is>
      </c>
      <c r="D269" t="inlineStr">
        <is>
          <t>당기 YTD</t>
        </is>
      </c>
      <c r="E269" s="3" t="n">
        <v>16998889290</v>
      </c>
      <c r="F269" t="inlineStr">
        <is>
          <t>id</t>
        </is>
      </c>
      <c r="G269" t="inlineStr">
        <is>
          <t>ifrs-full_CashFlowsFromUsedInOperatingActivities</t>
        </is>
      </c>
      <c r="H269" t="inlineStr">
        <is>
          <t>영업활동현금흐름</t>
        </is>
      </c>
      <c r="I269" t="inlineStr">
        <is>
          <t>20260814001277</t>
        </is>
      </c>
      <c r="J269" s="4" t="inlineStr">
        <is>
          <t>열기</t>
        </is>
      </c>
    </row>
    <row r="270">
      <c r="A270" t="inlineStr">
        <is>
          <t>메쎄이상</t>
        </is>
      </c>
      <c r="B270" t="inlineStr">
        <is>
          <t>408920</t>
        </is>
      </c>
      <c r="C270" t="inlineStr">
        <is>
          <t>영업현금흐름</t>
        </is>
      </c>
      <c r="D270" t="inlineStr">
        <is>
          <t>전년 연간</t>
        </is>
      </c>
      <c r="E270" s="3" t="n">
        <v>19722105537</v>
      </c>
      <c r="F270" t="inlineStr"/>
      <c r="I270" t="inlineStr">
        <is>
          <t>20260323001268</t>
        </is>
      </c>
      <c r="J270" s="4" t="inlineStr">
        <is>
          <t>열기</t>
        </is>
      </c>
    </row>
    <row r="271">
      <c r="A271" t="inlineStr">
        <is>
          <t>메쎄이상</t>
        </is>
      </c>
      <c r="B271" t="inlineStr">
        <is>
          <t>408920</t>
        </is>
      </c>
      <c r="C271" t="inlineStr">
        <is>
          <t>영업현금흐름</t>
        </is>
      </c>
      <c r="D271" t="inlineStr">
        <is>
          <t>전년 동기 YTD</t>
        </is>
      </c>
      <c r="E271" s="3" t="n">
        <v>12320753817</v>
      </c>
      <c r="F271" t="inlineStr"/>
      <c r="I271" t="inlineStr">
        <is>
          <t>20250814004442</t>
        </is>
      </c>
      <c r="J271" s="4" t="inlineStr">
        <is>
          <t>열기</t>
        </is>
      </c>
    </row>
    <row r="272">
      <c r="A272" t="inlineStr">
        <is>
          <t>메쎄이상</t>
        </is>
      </c>
      <c r="B272" t="inlineStr">
        <is>
          <t>408920</t>
        </is>
      </c>
      <c r="C272" t="inlineStr">
        <is>
          <t>지배주주자본</t>
        </is>
      </c>
      <c r="D272" t="inlineStr">
        <is>
          <t>당기말</t>
        </is>
      </c>
      <c r="E272" s="3" t="n">
        <v>84433612608</v>
      </c>
      <c r="F272" t="inlineStr">
        <is>
          <t>id</t>
        </is>
      </c>
      <c r="G272" t="inlineStr">
        <is>
          <t>ifrs-full_EquityAttributableToOwnersOfParent</t>
        </is>
      </c>
      <c r="H272" t="inlineStr">
        <is>
          <t>지배기업의 소유주에게 귀속되는 자본</t>
        </is>
      </c>
      <c r="I272" t="inlineStr">
        <is>
          <t>20260814001277</t>
        </is>
      </c>
      <c r="J272" s="4" t="inlineStr">
        <is>
          <t>열기</t>
        </is>
      </c>
    </row>
    <row r="273">
      <c r="A273" t="inlineStr">
        <is>
          <t>메쎄이상</t>
        </is>
      </c>
      <c r="B273" t="inlineStr">
        <is>
          <t>408920</t>
        </is>
      </c>
      <c r="C273" t="inlineStr">
        <is>
          <t>지배주주자본</t>
        </is>
      </c>
      <c r="D273" t="inlineStr">
        <is>
          <t>전년 동기말</t>
        </is>
      </c>
      <c r="E273" s="3" t="n">
        <v>72734519469</v>
      </c>
      <c r="F273" t="inlineStr"/>
      <c r="I273" t="inlineStr">
        <is>
          <t>20250814004442</t>
        </is>
      </c>
      <c r="J273" s="4" t="inlineStr">
        <is>
          <t>열기</t>
        </is>
      </c>
    </row>
    <row r="274">
      <c r="A274" t="inlineStr">
        <is>
          <t>메쎄이상</t>
        </is>
      </c>
      <c r="B274" t="inlineStr">
        <is>
          <t>408920</t>
        </is>
      </c>
      <c r="C274" t="inlineStr">
        <is>
          <t>자산총계</t>
        </is>
      </c>
      <c r="D274" t="inlineStr">
        <is>
          <t>당기말</t>
        </is>
      </c>
      <c r="E274" s="3" t="n">
        <v>109101372956</v>
      </c>
      <c r="F274" t="inlineStr">
        <is>
          <t>id</t>
        </is>
      </c>
      <c r="G274" t="inlineStr">
        <is>
          <t>ifrs-full_Assets</t>
        </is>
      </c>
      <c r="H274" t="inlineStr">
        <is>
          <t>자산총계</t>
        </is>
      </c>
      <c r="I274" t="inlineStr">
        <is>
          <t>20260814001277</t>
        </is>
      </c>
      <c r="J274" s="4" t="inlineStr">
        <is>
          <t>열기</t>
        </is>
      </c>
    </row>
    <row r="275">
      <c r="A275" t="inlineStr">
        <is>
          <t>메쎄이상</t>
        </is>
      </c>
      <c r="B275" t="inlineStr">
        <is>
          <t>408920</t>
        </is>
      </c>
      <c r="C275" t="inlineStr">
        <is>
          <t>자산총계</t>
        </is>
      </c>
      <c r="D275" t="inlineStr">
        <is>
          <t>전년 동기말</t>
        </is>
      </c>
      <c r="E275" s="3" t="n">
        <v>91519256601</v>
      </c>
      <c r="F275" t="inlineStr"/>
      <c r="I275" t="inlineStr">
        <is>
          <t>20250814004442</t>
        </is>
      </c>
      <c r="J275" s="4" t="inlineStr">
        <is>
          <t>열기</t>
        </is>
      </c>
    </row>
    <row r="276">
      <c r="A276" t="inlineStr">
        <is>
          <t>메쎄이상</t>
        </is>
      </c>
      <c r="B276" t="inlineStr">
        <is>
          <t>408920</t>
        </is>
      </c>
      <c r="C276" t="inlineStr">
        <is>
          <t>이자부부채</t>
        </is>
      </c>
      <c r="D276" t="inlineStr">
        <is>
          <t>당기말</t>
        </is>
      </c>
      <c r="E276" s="3" t="n">
        <v>7034449091</v>
      </c>
      <c r="F276" t="inlineStr">
        <is>
          <t>id</t>
        </is>
      </c>
      <c r="G276" t="inlineStr">
        <is>
          <t>ifrs-full_CurrentLeaseLiabilities + ifrs-full_NoncurrentLeaseLiabilities</t>
        </is>
      </c>
      <c r="H276" t="inlineStr">
        <is>
          <t>유동 리스부채 + 비유동 리스부채</t>
        </is>
      </c>
      <c r="I276" t="inlineStr">
        <is>
          <t>20260814001277</t>
        </is>
      </c>
      <c r="J276" s="4" t="inlineStr">
        <is>
          <t>열기</t>
        </is>
      </c>
    </row>
    <row r="277">
      <c r="A277" t="inlineStr">
        <is>
          <t>메쎄이상</t>
        </is>
      </c>
      <c r="B277" t="inlineStr">
        <is>
          <t>408920</t>
        </is>
      </c>
      <c r="C277" t="inlineStr">
        <is>
          <t>이자부부채</t>
        </is>
      </c>
      <c r="D277" t="inlineStr">
        <is>
          <t>전년 동기말</t>
        </is>
      </c>
      <c r="E277" s="3" t="n">
        <v>6775125394</v>
      </c>
      <c r="F277" t="inlineStr"/>
      <c r="I277" t="inlineStr">
        <is>
          <t>20250814004442</t>
        </is>
      </c>
      <c r="J277" s="4" t="inlineStr">
        <is>
          <t>열기</t>
        </is>
      </c>
    </row>
    <row r="278">
      <c r="A278" t="inlineStr">
        <is>
          <t>메쎄이상</t>
        </is>
      </c>
      <c r="B278" t="inlineStr">
        <is>
          <t>408920</t>
        </is>
      </c>
      <c r="C278" t="inlineStr">
        <is>
          <t>현금성자산</t>
        </is>
      </c>
      <c r="D278" t="inlineStr">
        <is>
          <t>당기말</t>
        </is>
      </c>
      <c r="E278" s="3" t="n">
        <v>28010892370</v>
      </c>
      <c r="F278" t="inlineStr">
        <is>
          <t>id</t>
        </is>
      </c>
      <c r="G278" t="inlineStr">
        <is>
          <t>ifrs-full_CashAndCashEquivalents</t>
        </is>
      </c>
      <c r="H278" t="inlineStr">
        <is>
          <t>현금및현금성자산</t>
        </is>
      </c>
      <c r="I278" t="inlineStr">
        <is>
          <t>20260814001277</t>
        </is>
      </c>
      <c r="J278" s="4" t="inlineStr">
        <is>
          <t>열기</t>
        </is>
      </c>
    </row>
    <row r="279">
      <c r="A279" t="inlineStr">
        <is>
          <t>메쎄이상</t>
        </is>
      </c>
      <c r="B279" t="inlineStr">
        <is>
          <t>408920</t>
        </is>
      </c>
      <c r="C279" t="inlineStr">
        <is>
          <t>현금성자산</t>
        </is>
      </c>
      <c r="D279" t="inlineStr">
        <is>
          <t>전년 동기말</t>
        </is>
      </c>
      <c r="E279" s="3" t="n">
        <v>56461671990</v>
      </c>
      <c r="F279" t="inlineStr"/>
      <c r="I279" t="inlineStr">
        <is>
          <t>20250814004442</t>
        </is>
      </c>
      <c r="J279" s="4" t="inlineStr">
        <is>
          <t>열기</t>
        </is>
      </c>
    </row>
    <row r="280">
      <c r="A280" t="inlineStr">
        <is>
          <t>메쎄이상</t>
        </is>
      </c>
      <c r="B280" t="inlineStr">
        <is>
          <t>408920</t>
        </is>
      </c>
      <c r="C280" t="inlineStr">
        <is>
          <t>단기금융상품</t>
        </is>
      </c>
      <c r="D280" t="inlineStr">
        <is>
          <t>당기말</t>
        </is>
      </c>
      <c r="E280" s="3" t="n">
        <v>43500000000</v>
      </c>
      <c r="F280" t="inlineStr">
        <is>
          <t>id</t>
        </is>
      </c>
      <c r="G280" t="inlineStr">
        <is>
          <t>ifrs-full_ShorttermDepositsNotClassifiedAsCashEquivalents</t>
        </is>
      </c>
      <c r="H280" t="inlineStr">
        <is>
          <t>단기금융상품</t>
        </is>
      </c>
      <c r="I280" t="inlineStr">
        <is>
          <t>20260814001277</t>
        </is>
      </c>
      <c r="J280" s="4" t="inlineStr">
        <is>
          <t>열기</t>
        </is>
      </c>
    </row>
    <row r="281">
      <c r="A281" t="inlineStr">
        <is>
          <t>메쎄이상</t>
        </is>
      </c>
      <c r="B281" t="inlineStr">
        <is>
          <t>408920</t>
        </is>
      </c>
      <c r="C281" t="inlineStr">
        <is>
          <t>단기금융상품</t>
        </is>
      </c>
      <c r="D281" t="inlineStr">
        <is>
          <t>전년 동기말</t>
        </is>
      </c>
      <c r="E281" s="3" t="n">
        <v>832176086</v>
      </c>
      <c r="F281" t="inlineStr"/>
      <c r="I281" t="inlineStr">
        <is>
          <t>20250814004442</t>
        </is>
      </c>
      <c r="J281" s="4" t="inlineStr">
        <is>
          <t>열기</t>
        </is>
      </c>
    </row>
    <row r="282">
      <c r="A282" t="inlineStr">
        <is>
          <t>진양제약</t>
        </is>
      </c>
      <c r="B282" t="inlineStr">
        <is>
          <t>007370</t>
        </is>
      </c>
      <c r="C282" t="inlineStr">
        <is>
          <t>지배주주순이익</t>
        </is>
      </c>
      <c r="D282" t="inlineStr">
        <is>
          <t>당기 YTD</t>
        </is>
      </c>
      <c r="E282" s="3" t="n">
        <v>4468961675</v>
      </c>
      <c r="F282" t="inlineStr">
        <is>
          <t>separate_only</t>
        </is>
      </c>
      <c r="G282" t="inlineStr">
        <is>
          <t>ifrs-full_ProfitLoss</t>
        </is>
      </c>
      <c r="H282" t="inlineStr">
        <is>
          <t>당기순이익</t>
        </is>
      </c>
      <c r="I282" t="inlineStr">
        <is>
          <t>20260813000886</t>
        </is>
      </c>
      <c r="J282" s="4" t="inlineStr">
        <is>
          <t>열기</t>
        </is>
      </c>
    </row>
    <row r="283">
      <c r="A283" t="inlineStr">
        <is>
          <t>진양제약</t>
        </is>
      </c>
      <c r="B283" t="inlineStr">
        <is>
          <t>007370</t>
        </is>
      </c>
      <c r="C283" t="inlineStr">
        <is>
          <t>지배주주순이익</t>
        </is>
      </c>
      <c r="D283" t="inlineStr">
        <is>
          <t>전년 연간</t>
        </is>
      </c>
      <c r="E283" s="3" t="n">
        <v>22286848623</v>
      </c>
      <c r="F283" t="inlineStr"/>
      <c r="I283" t="inlineStr">
        <is>
          <t>20260318001709</t>
        </is>
      </c>
      <c r="J283" s="4" t="inlineStr">
        <is>
          <t>열기</t>
        </is>
      </c>
    </row>
    <row r="284">
      <c r="A284" t="inlineStr">
        <is>
          <t>진양제약</t>
        </is>
      </c>
      <c r="B284" t="inlineStr">
        <is>
          <t>007370</t>
        </is>
      </c>
      <c r="C284" t="inlineStr">
        <is>
          <t>지배주주순이익</t>
        </is>
      </c>
      <c r="D284" t="inlineStr">
        <is>
          <t>전년 동기 YTD</t>
        </is>
      </c>
      <c r="E284" s="3" t="n">
        <v>3951759032</v>
      </c>
      <c r="F284" t="inlineStr"/>
      <c r="I284" t="inlineStr">
        <is>
          <t>20250813001569</t>
        </is>
      </c>
      <c r="J284" s="4" t="inlineStr">
        <is>
          <t>열기</t>
        </is>
      </c>
    </row>
    <row r="285">
      <c r="A285" t="inlineStr">
        <is>
          <t>진양제약</t>
        </is>
      </c>
      <c r="B285" t="inlineStr">
        <is>
          <t>007370</t>
        </is>
      </c>
      <c r="C285" t="inlineStr">
        <is>
          <t>당기순이익</t>
        </is>
      </c>
      <c r="D285" t="inlineStr">
        <is>
          <t>당기 YTD</t>
        </is>
      </c>
      <c r="E285" s="3" t="n">
        <v>4468961675</v>
      </c>
      <c r="F285" t="inlineStr">
        <is>
          <t>id</t>
        </is>
      </c>
      <c r="G285" t="inlineStr">
        <is>
          <t>ifrs-full_ProfitLoss</t>
        </is>
      </c>
      <c r="H285" t="inlineStr">
        <is>
          <t>당기순이익</t>
        </is>
      </c>
      <c r="I285" t="inlineStr">
        <is>
          <t>20260813000886</t>
        </is>
      </c>
      <c r="J285" s="4" t="inlineStr">
        <is>
          <t>열기</t>
        </is>
      </c>
    </row>
    <row r="286">
      <c r="A286" t="inlineStr">
        <is>
          <t>진양제약</t>
        </is>
      </c>
      <c r="B286" t="inlineStr">
        <is>
          <t>007370</t>
        </is>
      </c>
      <c r="C286" t="inlineStr">
        <is>
          <t>당기순이익</t>
        </is>
      </c>
      <c r="D286" t="inlineStr">
        <is>
          <t>전년 연간</t>
        </is>
      </c>
      <c r="E286" s="3" t="n">
        <v>22286848623</v>
      </c>
      <c r="F286" t="inlineStr"/>
      <c r="I286" t="inlineStr">
        <is>
          <t>20260318001709</t>
        </is>
      </c>
      <c r="J286" s="4" t="inlineStr">
        <is>
          <t>열기</t>
        </is>
      </c>
    </row>
    <row r="287">
      <c r="A287" t="inlineStr">
        <is>
          <t>진양제약</t>
        </is>
      </c>
      <c r="B287" t="inlineStr">
        <is>
          <t>007370</t>
        </is>
      </c>
      <c r="C287" t="inlineStr">
        <is>
          <t>당기순이익</t>
        </is>
      </c>
      <c r="D287" t="inlineStr">
        <is>
          <t>전년 동기 YTD</t>
        </is>
      </c>
      <c r="E287" s="3" t="n">
        <v>3951759032</v>
      </c>
      <c r="F287" t="inlineStr"/>
      <c r="I287" t="inlineStr">
        <is>
          <t>20250813001569</t>
        </is>
      </c>
      <c r="J287" s="4" t="inlineStr">
        <is>
          <t>열기</t>
        </is>
      </c>
    </row>
    <row r="288">
      <c r="A288" t="inlineStr">
        <is>
          <t>진양제약</t>
        </is>
      </c>
      <c r="B288" t="inlineStr">
        <is>
          <t>007370</t>
        </is>
      </c>
      <c r="C288" t="inlineStr">
        <is>
          <t>매출액</t>
        </is>
      </c>
      <c r="D288" t="inlineStr">
        <is>
          <t>당기 YTD</t>
        </is>
      </c>
      <c r="E288" s="3" t="n">
        <v>65046695377</v>
      </c>
      <c r="F288" t="inlineStr">
        <is>
          <t>id</t>
        </is>
      </c>
      <c r="G288" t="inlineStr">
        <is>
          <t>ifrs-full_Revenue</t>
        </is>
      </c>
      <c r="H288" t="inlineStr">
        <is>
          <t>매출액</t>
        </is>
      </c>
      <c r="I288" t="inlineStr">
        <is>
          <t>20260813000886</t>
        </is>
      </c>
      <c r="J288" s="4" t="inlineStr">
        <is>
          <t>열기</t>
        </is>
      </c>
    </row>
    <row r="289">
      <c r="A289" t="inlineStr">
        <is>
          <t>진양제약</t>
        </is>
      </c>
      <c r="B289" t="inlineStr">
        <is>
          <t>007370</t>
        </is>
      </c>
      <c r="C289" t="inlineStr">
        <is>
          <t>매출액</t>
        </is>
      </c>
      <c r="D289" t="inlineStr">
        <is>
          <t>전년 연간</t>
        </is>
      </c>
      <c r="E289" s="3" t="n">
        <v>120686230379</v>
      </c>
      <c r="F289" t="inlineStr"/>
      <c r="I289" t="inlineStr">
        <is>
          <t>20260318001709</t>
        </is>
      </c>
      <c r="J289" s="4" t="inlineStr">
        <is>
          <t>열기</t>
        </is>
      </c>
    </row>
    <row r="290">
      <c r="A290" t="inlineStr">
        <is>
          <t>진양제약</t>
        </is>
      </c>
      <c r="B290" t="inlineStr">
        <is>
          <t>007370</t>
        </is>
      </c>
      <c r="C290" t="inlineStr">
        <is>
          <t>매출액</t>
        </is>
      </c>
      <c r="D290" t="inlineStr">
        <is>
          <t>전년 동기 YTD</t>
        </is>
      </c>
      <c r="E290" s="3" t="n">
        <v>61122380211</v>
      </c>
      <c r="F290" t="inlineStr"/>
      <c r="I290" t="inlineStr">
        <is>
          <t>20250813001569</t>
        </is>
      </c>
      <c r="J290" s="4" t="inlineStr">
        <is>
          <t>열기</t>
        </is>
      </c>
    </row>
    <row r="291">
      <c r="A291" t="inlineStr">
        <is>
          <t>진양제약</t>
        </is>
      </c>
      <c r="B291" t="inlineStr">
        <is>
          <t>007370</t>
        </is>
      </c>
      <c r="C291" t="inlineStr">
        <is>
          <t>매출총이익</t>
        </is>
      </c>
      <c r="D291" t="inlineStr">
        <is>
          <t>당기 YTD</t>
        </is>
      </c>
      <c r="E291" s="3" t="n">
        <v>43355170134</v>
      </c>
      <c r="F291" t="inlineStr">
        <is>
          <t>id</t>
        </is>
      </c>
      <c r="G291" t="inlineStr">
        <is>
          <t>ifrs-full_GrossProfit</t>
        </is>
      </c>
      <c r="H291" t="inlineStr">
        <is>
          <t>매출총이익</t>
        </is>
      </c>
      <c r="I291" t="inlineStr">
        <is>
          <t>20260813000886</t>
        </is>
      </c>
      <c r="J291" s="4" t="inlineStr">
        <is>
          <t>열기</t>
        </is>
      </c>
    </row>
    <row r="292">
      <c r="A292" t="inlineStr">
        <is>
          <t>진양제약</t>
        </is>
      </c>
      <c r="B292" t="inlineStr">
        <is>
          <t>007370</t>
        </is>
      </c>
      <c r="C292" t="inlineStr">
        <is>
          <t>매출총이익</t>
        </is>
      </c>
      <c r="D292" t="inlineStr">
        <is>
          <t>전년 연간</t>
        </is>
      </c>
      <c r="E292" s="3" t="n">
        <v>78151057747</v>
      </c>
      <c r="F292" t="inlineStr"/>
      <c r="I292" t="inlineStr">
        <is>
          <t>20260318001709</t>
        </is>
      </c>
      <c r="J292" s="4" t="inlineStr">
        <is>
          <t>열기</t>
        </is>
      </c>
    </row>
    <row r="293">
      <c r="A293" t="inlineStr">
        <is>
          <t>진양제약</t>
        </is>
      </c>
      <c r="B293" t="inlineStr">
        <is>
          <t>007370</t>
        </is>
      </c>
      <c r="C293" t="inlineStr">
        <is>
          <t>매출총이익</t>
        </is>
      </c>
      <c r="D293" t="inlineStr">
        <is>
          <t>전년 동기 YTD</t>
        </is>
      </c>
      <c r="E293" s="3" t="n">
        <v>39248733751</v>
      </c>
      <c r="F293" t="inlineStr"/>
      <c r="I293" t="inlineStr">
        <is>
          <t>20250813001569</t>
        </is>
      </c>
      <c r="J293" s="4" t="inlineStr">
        <is>
          <t>열기</t>
        </is>
      </c>
    </row>
    <row r="294">
      <c r="A294" t="inlineStr">
        <is>
          <t>진양제약</t>
        </is>
      </c>
      <c r="B294" t="inlineStr">
        <is>
          <t>007370</t>
        </is>
      </c>
      <c r="C294" t="inlineStr">
        <is>
          <t>영업이익</t>
        </is>
      </c>
      <c r="D294" t="inlineStr">
        <is>
          <t>당기 YTD</t>
        </is>
      </c>
      <c r="E294" s="3" t="n">
        <v>7584181462</v>
      </c>
      <c r="F294" t="inlineStr">
        <is>
          <t>id</t>
        </is>
      </c>
      <c r="G294" t="inlineStr">
        <is>
          <t>dart_OperatingIncomeLoss</t>
        </is>
      </c>
      <c r="H294" t="inlineStr">
        <is>
          <t>영업이익</t>
        </is>
      </c>
      <c r="I294" t="inlineStr">
        <is>
          <t>20260813000886</t>
        </is>
      </c>
      <c r="J294" s="4" t="inlineStr">
        <is>
          <t>열기</t>
        </is>
      </c>
    </row>
    <row r="295">
      <c r="A295" t="inlineStr">
        <is>
          <t>진양제약</t>
        </is>
      </c>
      <c r="B295" t="inlineStr">
        <is>
          <t>007370</t>
        </is>
      </c>
      <c r="C295" t="inlineStr">
        <is>
          <t>영업이익</t>
        </is>
      </c>
      <c r="D295" t="inlineStr">
        <is>
          <t>전년 연간</t>
        </is>
      </c>
      <c r="E295" s="3" t="n">
        <v>2526241951</v>
      </c>
      <c r="F295" t="inlineStr"/>
      <c r="I295" t="inlineStr">
        <is>
          <t>20260318001709</t>
        </is>
      </c>
      <c r="J295" s="4" t="inlineStr">
        <is>
          <t>열기</t>
        </is>
      </c>
    </row>
    <row r="296">
      <c r="A296" t="inlineStr">
        <is>
          <t>진양제약</t>
        </is>
      </c>
      <c r="B296" t="inlineStr">
        <is>
          <t>007370</t>
        </is>
      </c>
      <c r="C296" t="inlineStr">
        <is>
          <t>영업이익</t>
        </is>
      </c>
      <c r="D296" t="inlineStr">
        <is>
          <t>전년 동기 YTD</t>
        </is>
      </c>
      <c r="E296" s="3" t="n">
        <v>6320122647</v>
      </c>
      <c r="F296" t="inlineStr"/>
      <c r="I296" t="inlineStr">
        <is>
          <t>20250813001569</t>
        </is>
      </c>
      <c r="J296" s="4" t="inlineStr">
        <is>
          <t>열기</t>
        </is>
      </c>
    </row>
    <row r="297">
      <c r="A297" t="inlineStr">
        <is>
          <t>진양제약</t>
        </is>
      </c>
      <c r="B297" t="inlineStr">
        <is>
          <t>007370</t>
        </is>
      </c>
      <c r="C297" t="inlineStr">
        <is>
          <t>영업현금흐름</t>
        </is>
      </c>
      <c r="D297" t="inlineStr">
        <is>
          <t>당기 YTD</t>
        </is>
      </c>
      <c r="E297" s="3" t="n">
        <v>12583980177</v>
      </c>
      <c r="F297" t="inlineStr">
        <is>
          <t>id</t>
        </is>
      </c>
      <c r="G297" t="inlineStr">
        <is>
          <t>ifrs-full_CashFlowsFromUsedInOperatingActivities</t>
        </is>
      </c>
      <c r="H297" t="inlineStr">
        <is>
          <t>영업활동현금흐름</t>
        </is>
      </c>
      <c r="I297" t="inlineStr">
        <is>
          <t>20260813000886</t>
        </is>
      </c>
      <c r="J297" s="4" t="inlineStr">
        <is>
          <t>열기</t>
        </is>
      </c>
    </row>
    <row r="298">
      <c r="A298" t="inlineStr">
        <is>
          <t>진양제약</t>
        </is>
      </c>
      <c r="B298" t="inlineStr">
        <is>
          <t>007370</t>
        </is>
      </c>
      <c r="C298" t="inlineStr">
        <is>
          <t>영업현금흐름</t>
        </is>
      </c>
      <c r="D298" t="inlineStr">
        <is>
          <t>전년 연간</t>
        </is>
      </c>
      <c r="E298" s="3" t="n">
        <v>1464986839</v>
      </c>
      <c r="F298" t="inlineStr"/>
      <c r="I298" t="inlineStr">
        <is>
          <t>20260318001709</t>
        </is>
      </c>
      <c r="J298" s="4" t="inlineStr">
        <is>
          <t>열기</t>
        </is>
      </c>
    </row>
    <row r="299">
      <c r="A299" t="inlineStr">
        <is>
          <t>진양제약</t>
        </is>
      </c>
      <c r="B299" t="inlineStr">
        <is>
          <t>007370</t>
        </is>
      </c>
      <c r="C299" t="inlineStr">
        <is>
          <t>영업현금흐름</t>
        </is>
      </c>
      <c r="D299" t="inlineStr">
        <is>
          <t>전년 동기 YTD</t>
        </is>
      </c>
      <c r="E299" s="3" t="n">
        <v>3296450345</v>
      </c>
      <c r="F299" t="inlineStr"/>
      <c r="I299" t="inlineStr">
        <is>
          <t>20250813001569</t>
        </is>
      </c>
      <c r="J299" s="4" t="inlineStr">
        <is>
          <t>열기</t>
        </is>
      </c>
    </row>
    <row r="300">
      <c r="A300" t="inlineStr">
        <is>
          <t>진양제약</t>
        </is>
      </c>
      <c r="B300" t="inlineStr">
        <is>
          <t>007370</t>
        </is>
      </c>
      <c r="C300" t="inlineStr">
        <is>
          <t>지배주주자본</t>
        </is>
      </c>
      <c r="D300" t="inlineStr">
        <is>
          <t>당기말</t>
        </is>
      </c>
      <c r="E300" s="3" t="n">
        <v>162158792919</v>
      </c>
      <c r="F300" t="inlineStr">
        <is>
          <t>separate_only</t>
        </is>
      </c>
      <c r="G300" t="inlineStr">
        <is>
          <t>ifrs-full_Equity</t>
        </is>
      </c>
      <c r="H300" t="inlineStr">
        <is>
          <t>자본총계</t>
        </is>
      </c>
      <c r="I300" t="inlineStr">
        <is>
          <t>20260813000886</t>
        </is>
      </c>
      <c r="J300" s="4" t="inlineStr">
        <is>
          <t>열기</t>
        </is>
      </c>
    </row>
    <row r="301">
      <c r="A301" t="inlineStr">
        <is>
          <t>진양제약</t>
        </is>
      </c>
      <c r="B301" t="inlineStr">
        <is>
          <t>007370</t>
        </is>
      </c>
      <c r="C301" t="inlineStr">
        <is>
          <t>지배주주자본</t>
        </is>
      </c>
      <c r="D301" t="inlineStr">
        <is>
          <t>전년 동기말</t>
        </is>
      </c>
      <c r="E301" s="3" t="n">
        <v>126310394230</v>
      </c>
      <c r="F301" t="inlineStr"/>
      <c r="I301" t="inlineStr">
        <is>
          <t>20250813001569</t>
        </is>
      </c>
      <c r="J301" s="4" t="inlineStr">
        <is>
          <t>열기</t>
        </is>
      </c>
    </row>
    <row r="302">
      <c r="A302" t="inlineStr">
        <is>
          <t>진양제약</t>
        </is>
      </c>
      <c r="B302" t="inlineStr">
        <is>
          <t>007370</t>
        </is>
      </c>
      <c r="C302" t="inlineStr">
        <is>
          <t>자산총계</t>
        </is>
      </c>
      <c r="D302" t="inlineStr">
        <is>
          <t>당기말</t>
        </is>
      </c>
      <c r="E302" s="3" t="n">
        <v>274418265173</v>
      </c>
      <c r="F302" t="inlineStr">
        <is>
          <t>id</t>
        </is>
      </c>
      <c r="G302" t="inlineStr">
        <is>
          <t>ifrs-full_Assets</t>
        </is>
      </c>
      <c r="H302" t="inlineStr">
        <is>
          <t>자산총계</t>
        </is>
      </c>
      <c r="I302" t="inlineStr">
        <is>
          <t>20260813000886</t>
        </is>
      </c>
      <c r="J302" s="4" t="inlineStr">
        <is>
          <t>열기</t>
        </is>
      </c>
    </row>
    <row r="303">
      <c r="A303" t="inlineStr">
        <is>
          <t>진양제약</t>
        </is>
      </c>
      <c r="B303" t="inlineStr">
        <is>
          <t>007370</t>
        </is>
      </c>
      <c r="C303" t="inlineStr">
        <is>
          <t>자산총계</t>
        </is>
      </c>
      <c r="D303" t="inlineStr">
        <is>
          <t>전년 동기말</t>
        </is>
      </c>
      <c r="E303" s="3" t="n">
        <v>228769952049</v>
      </c>
      <c r="F303" t="inlineStr"/>
      <c r="I303" t="inlineStr">
        <is>
          <t>20250813001569</t>
        </is>
      </c>
      <c r="J303" s="4" t="inlineStr">
        <is>
          <t>열기</t>
        </is>
      </c>
    </row>
    <row r="304">
      <c r="A304" t="inlineStr">
        <is>
          <t>진양제약</t>
        </is>
      </c>
      <c r="B304" t="inlineStr">
        <is>
          <t>007370</t>
        </is>
      </c>
      <c r="C304" t="inlineStr">
        <is>
          <t>이자부부채</t>
        </is>
      </c>
      <c r="D304" t="inlineStr">
        <is>
          <t>당기말</t>
        </is>
      </c>
      <c r="E304" s="3" t="n">
        <v>75568608288</v>
      </c>
      <c r="F304" t="inlineStr">
        <is>
          <t>id</t>
        </is>
      </c>
      <c r="G304" t="inlineStr">
        <is>
          <t>dart_CurrentLoansReceived + dart_CurrentPortionOfConvertibleBonds</t>
        </is>
      </c>
      <c r="H304" t="inlineStr">
        <is>
          <t>단기차입금 + 전환사채</t>
        </is>
      </c>
      <c r="I304" t="inlineStr">
        <is>
          <t>20260813000886</t>
        </is>
      </c>
      <c r="J304" s="4" t="inlineStr">
        <is>
          <t>열기</t>
        </is>
      </c>
    </row>
    <row r="305">
      <c r="A305" t="inlineStr">
        <is>
          <t>진양제약</t>
        </is>
      </c>
      <c r="B305" t="inlineStr">
        <is>
          <t>007370</t>
        </is>
      </c>
      <c r="C305" t="inlineStr">
        <is>
          <t>이자부부채</t>
        </is>
      </c>
      <c r="D305" t="inlineStr">
        <is>
          <t>전년 동기말</t>
        </is>
      </c>
      <c r="E305" s="3" t="n">
        <v>77377785640</v>
      </c>
      <c r="F305" t="inlineStr"/>
      <c r="I305" t="inlineStr">
        <is>
          <t>20250813001569</t>
        </is>
      </c>
      <c r="J305" s="4" t="inlineStr">
        <is>
          <t>열기</t>
        </is>
      </c>
    </row>
    <row r="306">
      <c r="A306" t="inlineStr">
        <is>
          <t>진양제약</t>
        </is>
      </c>
      <c r="B306" t="inlineStr">
        <is>
          <t>007370</t>
        </is>
      </c>
      <c r="C306" t="inlineStr">
        <is>
          <t>현금성자산</t>
        </is>
      </c>
      <c r="D306" t="inlineStr">
        <is>
          <t>당기말</t>
        </is>
      </c>
      <c r="E306" s="3" t="n">
        <v>1118692236</v>
      </c>
      <c r="F306" t="inlineStr">
        <is>
          <t>id</t>
        </is>
      </c>
      <c r="G306" t="inlineStr">
        <is>
          <t>ifrs-full_CashAndCashEquivalents</t>
        </is>
      </c>
      <c r="H306" t="inlineStr">
        <is>
          <t>현금및현금성자산</t>
        </is>
      </c>
      <c r="I306" t="inlineStr">
        <is>
          <t>20260813000886</t>
        </is>
      </c>
      <c r="J306" s="4" t="inlineStr">
        <is>
          <t>열기</t>
        </is>
      </c>
    </row>
    <row r="307">
      <c r="A307" t="inlineStr">
        <is>
          <t>진양제약</t>
        </is>
      </c>
      <c r="B307" t="inlineStr">
        <is>
          <t>007370</t>
        </is>
      </c>
      <c r="C307" t="inlineStr">
        <is>
          <t>현금성자산</t>
        </is>
      </c>
      <c r="D307" t="inlineStr">
        <is>
          <t>전년 동기말</t>
        </is>
      </c>
      <c r="E307" s="3" t="n">
        <v>371646728</v>
      </c>
      <c r="F307" t="inlineStr"/>
      <c r="I307" t="inlineStr">
        <is>
          <t>20250813001569</t>
        </is>
      </c>
      <c r="J307" s="4" t="inlineStr">
        <is>
          <t>열기</t>
        </is>
      </c>
    </row>
    <row r="308">
      <c r="A308" t="inlineStr">
        <is>
          <t>진양제약</t>
        </is>
      </c>
      <c r="B308" t="inlineStr">
        <is>
          <t>007370</t>
        </is>
      </c>
      <c r="C308" t="inlineStr">
        <is>
          <t>단기금융상품</t>
        </is>
      </c>
      <c r="D308" t="inlineStr">
        <is>
          <t>당기말</t>
        </is>
      </c>
      <c r="E308" s="3" t="n">
        <v>0</v>
      </c>
      <c r="F308" t="inlineStr">
        <is>
          <t>zero_default</t>
        </is>
      </c>
      <c r="I308" t="inlineStr">
        <is>
          <t>20260813000886</t>
        </is>
      </c>
      <c r="J308" s="4" t="inlineStr">
        <is>
          <t>열기</t>
        </is>
      </c>
    </row>
    <row r="309">
      <c r="A309" t="inlineStr">
        <is>
          <t>진양제약</t>
        </is>
      </c>
      <c r="B309" t="inlineStr">
        <is>
          <t>007370</t>
        </is>
      </c>
      <c r="C309" t="inlineStr">
        <is>
          <t>단기금융상품</t>
        </is>
      </c>
      <c r="D309" t="inlineStr">
        <is>
          <t>전년 동기말</t>
        </is>
      </c>
      <c r="E309" s="3" t="n">
        <v>0</v>
      </c>
      <c r="F309" t="inlineStr"/>
      <c r="I309" t="inlineStr">
        <is>
          <t>20250813001569</t>
        </is>
      </c>
      <c r="J309" s="4" t="inlineStr">
        <is>
          <t>열기</t>
        </is>
      </c>
    </row>
    <row r="310">
      <c r="A310" t="inlineStr">
        <is>
          <t>롯데지주</t>
        </is>
      </c>
      <c r="B310" t="inlineStr">
        <is>
          <t>004990</t>
        </is>
      </c>
      <c r="C310" t="inlineStr">
        <is>
          <t>지배주주순이익</t>
        </is>
      </c>
      <c r="D310" t="inlineStr">
        <is>
          <t>당기 YTD</t>
        </is>
      </c>
      <c r="E310" s="3" t="n">
        <v>42120798515</v>
      </c>
      <c r="F310" t="inlineStr">
        <is>
          <t>id</t>
        </is>
      </c>
      <c r="G310" t="inlineStr">
        <is>
          <t>ifrs-full_ProfitLossAttributableToOwnersOfParent</t>
        </is>
      </c>
      <c r="H310" t="inlineStr">
        <is>
          <t>지배기업의 소유주에게 귀속되는 당기순이익(손실)</t>
        </is>
      </c>
      <c r="I310" t="inlineStr">
        <is>
          <t>20260814004197</t>
        </is>
      </c>
      <c r="J310" s="4" t="inlineStr">
        <is>
          <t>열기</t>
        </is>
      </c>
    </row>
    <row r="311">
      <c r="A311" t="inlineStr">
        <is>
          <t>롯데지주</t>
        </is>
      </c>
      <c r="B311" t="inlineStr">
        <is>
          <t>004990</t>
        </is>
      </c>
      <c r="C311" t="inlineStr">
        <is>
          <t>지배주주순이익</t>
        </is>
      </c>
      <c r="D311" t="inlineStr">
        <is>
          <t>전년 연간</t>
        </is>
      </c>
      <c r="E311" s="3" t="n">
        <v>-647552868590</v>
      </c>
      <c r="F311" t="inlineStr"/>
      <c r="I311" t="inlineStr">
        <is>
          <t>20260316001619</t>
        </is>
      </c>
      <c r="J311" s="4" t="inlineStr">
        <is>
          <t>열기</t>
        </is>
      </c>
    </row>
    <row r="312">
      <c r="A312" t="inlineStr">
        <is>
          <t>롯데지주</t>
        </is>
      </c>
      <c r="B312" t="inlineStr">
        <is>
          <t>004990</t>
        </is>
      </c>
      <c r="C312" t="inlineStr">
        <is>
          <t>지배주주순이익</t>
        </is>
      </c>
      <c r="D312" t="inlineStr">
        <is>
          <t>전년 동기 YTD</t>
        </is>
      </c>
      <c r="E312" s="3" t="n">
        <v>-204893627830</v>
      </c>
      <c r="F312" t="inlineStr"/>
      <c r="I312" t="inlineStr">
        <is>
          <t>20250814004439</t>
        </is>
      </c>
      <c r="J312" s="4" t="inlineStr">
        <is>
          <t>열기</t>
        </is>
      </c>
    </row>
    <row r="313">
      <c r="A313" t="inlineStr">
        <is>
          <t>롯데지주</t>
        </is>
      </c>
      <c r="B313" t="inlineStr">
        <is>
          <t>004990</t>
        </is>
      </c>
      <c r="C313" t="inlineStr">
        <is>
          <t>당기순이익</t>
        </is>
      </c>
      <c r="D313" t="inlineStr">
        <is>
          <t>당기 YTD</t>
        </is>
      </c>
      <c r="E313" s="3" t="n">
        <v>78832872862</v>
      </c>
      <c r="F313" t="inlineStr">
        <is>
          <t>id</t>
        </is>
      </c>
      <c r="G313" t="inlineStr">
        <is>
          <t>ifrs-full_ProfitLoss</t>
        </is>
      </c>
      <c r="H313" t="inlineStr">
        <is>
          <t>당기순이익(손실)</t>
        </is>
      </c>
      <c r="I313" t="inlineStr">
        <is>
          <t>20260814004197</t>
        </is>
      </c>
      <c r="J313" s="4" t="inlineStr">
        <is>
          <t>열기</t>
        </is>
      </c>
    </row>
    <row r="314">
      <c r="A314" t="inlineStr">
        <is>
          <t>롯데지주</t>
        </is>
      </c>
      <c r="B314" t="inlineStr">
        <is>
          <t>004990</t>
        </is>
      </c>
      <c r="C314" t="inlineStr">
        <is>
          <t>당기순이익</t>
        </is>
      </c>
      <c r="D314" t="inlineStr">
        <is>
          <t>전년 연간</t>
        </is>
      </c>
      <c r="E314" s="3" t="n">
        <v>-595003287583</v>
      </c>
      <c r="F314" t="inlineStr"/>
      <c r="I314" t="inlineStr">
        <is>
          <t>20260316001619</t>
        </is>
      </c>
      <c r="J314" s="4" t="inlineStr">
        <is>
          <t>열기</t>
        </is>
      </c>
    </row>
    <row r="315">
      <c r="A315" t="inlineStr">
        <is>
          <t>롯데지주</t>
        </is>
      </c>
      <c r="B315" t="inlineStr">
        <is>
          <t>004990</t>
        </is>
      </c>
      <c r="C315" t="inlineStr">
        <is>
          <t>당기순이익</t>
        </is>
      </c>
      <c r="D315" t="inlineStr">
        <is>
          <t>전년 동기 YTD</t>
        </is>
      </c>
      <c r="E315" s="3" t="n">
        <v>-160406356485</v>
      </c>
      <c r="F315" t="inlineStr"/>
      <c r="I315" t="inlineStr">
        <is>
          <t>20250814004439</t>
        </is>
      </c>
      <c r="J315" s="4" t="inlineStr">
        <is>
          <t>열기</t>
        </is>
      </c>
    </row>
    <row r="316">
      <c r="A316" t="inlineStr">
        <is>
          <t>롯데지주</t>
        </is>
      </c>
      <c r="B316" t="inlineStr">
        <is>
          <t>004990</t>
        </is>
      </c>
      <c r="C316" t="inlineStr">
        <is>
          <t>매출액</t>
        </is>
      </c>
      <c r="D316" t="inlineStr">
        <is>
          <t>당기 YTD</t>
        </is>
      </c>
      <c r="E316" s="3" t="n">
        <v>7715223712777</v>
      </c>
      <c r="F316" t="inlineStr">
        <is>
          <t>id</t>
        </is>
      </c>
      <c r="G316" t="inlineStr">
        <is>
          <t>ifrs-full_Revenue</t>
        </is>
      </c>
      <c r="H316" t="inlineStr">
        <is>
          <t>매출</t>
        </is>
      </c>
      <c r="I316" t="inlineStr">
        <is>
          <t>20260814004197</t>
        </is>
      </c>
      <c r="J316" s="4" t="inlineStr">
        <is>
          <t>열기</t>
        </is>
      </c>
    </row>
    <row r="317">
      <c r="A317" t="inlineStr">
        <is>
          <t>롯데지주</t>
        </is>
      </c>
      <c r="B317" t="inlineStr">
        <is>
          <t>004990</t>
        </is>
      </c>
      <c r="C317" t="inlineStr">
        <is>
          <t>매출액</t>
        </is>
      </c>
      <c r="D317" t="inlineStr">
        <is>
          <t>전년 연간</t>
        </is>
      </c>
      <c r="E317" s="3" t="n">
        <v>15539626589471</v>
      </c>
      <c r="F317" t="inlineStr"/>
      <c r="I317" t="inlineStr">
        <is>
          <t>20260316001619</t>
        </is>
      </c>
      <c r="J317" s="4" t="inlineStr">
        <is>
          <t>열기</t>
        </is>
      </c>
    </row>
    <row r="318">
      <c r="A318" t="inlineStr">
        <is>
          <t>롯데지주</t>
        </is>
      </c>
      <c r="B318" t="inlineStr">
        <is>
          <t>004990</t>
        </is>
      </c>
      <c r="C318" t="inlineStr">
        <is>
          <t>매출액</t>
        </is>
      </c>
      <c r="D318" t="inlineStr">
        <is>
          <t>전년 동기 YTD</t>
        </is>
      </c>
      <c r="E318" s="3" t="n">
        <v>7628438979590</v>
      </c>
      <c r="F318" t="inlineStr"/>
      <c r="I318" t="inlineStr">
        <is>
          <t>20250814004439</t>
        </is>
      </c>
      <c r="J318" s="4" t="inlineStr">
        <is>
          <t>열기</t>
        </is>
      </c>
    </row>
    <row r="319">
      <c r="A319" t="inlineStr">
        <is>
          <t>롯데지주</t>
        </is>
      </c>
      <c r="B319" t="inlineStr">
        <is>
          <t>004990</t>
        </is>
      </c>
      <c r="C319" t="inlineStr">
        <is>
          <t>매출총이익</t>
        </is>
      </c>
      <c r="D319" t="inlineStr">
        <is>
          <t>당기 YTD</t>
        </is>
      </c>
      <c r="E319" s="3" t="n">
        <v>2263189109088</v>
      </c>
      <c r="F319" t="inlineStr">
        <is>
          <t>id</t>
        </is>
      </c>
      <c r="G319" t="inlineStr">
        <is>
          <t>ifrs-full_GrossProfit</t>
        </is>
      </c>
      <c r="H319" t="inlineStr">
        <is>
          <t>매출총이익</t>
        </is>
      </c>
      <c r="I319" t="inlineStr">
        <is>
          <t>20260814004197</t>
        </is>
      </c>
      <c r="J319" s="4" t="inlineStr">
        <is>
          <t>열기</t>
        </is>
      </c>
    </row>
    <row r="320">
      <c r="A320" t="inlineStr">
        <is>
          <t>롯데지주</t>
        </is>
      </c>
      <c r="B320" t="inlineStr">
        <is>
          <t>004990</t>
        </is>
      </c>
      <c r="C320" t="inlineStr">
        <is>
          <t>매출총이익</t>
        </is>
      </c>
      <c r="D320" t="inlineStr">
        <is>
          <t>전년 연간</t>
        </is>
      </c>
      <c r="E320" s="3" t="n">
        <v>4430741650311</v>
      </c>
      <c r="F320" t="inlineStr"/>
      <c r="I320" t="inlineStr">
        <is>
          <t>20260316001619</t>
        </is>
      </c>
      <c r="J320" s="4" t="inlineStr">
        <is>
          <t>열기</t>
        </is>
      </c>
    </row>
    <row r="321">
      <c r="A321" t="inlineStr">
        <is>
          <t>롯데지주</t>
        </is>
      </c>
      <c r="B321" t="inlineStr">
        <is>
          <t>004990</t>
        </is>
      </c>
      <c r="C321" t="inlineStr">
        <is>
          <t>매출총이익</t>
        </is>
      </c>
      <c r="D321" t="inlineStr">
        <is>
          <t>전년 동기 YTD</t>
        </is>
      </c>
      <c r="E321" s="3" t="n">
        <v>2214111023770</v>
      </c>
      <c r="F321" t="inlineStr"/>
      <c r="I321" t="inlineStr">
        <is>
          <t>20250814004439</t>
        </is>
      </c>
      <c r="J321" s="4" t="inlineStr">
        <is>
          <t>열기</t>
        </is>
      </c>
    </row>
    <row r="322">
      <c r="A322" t="inlineStr">
        <is>
          <t>롯데지주</t>
        </is>
      </c>
      <c r="B322" t="inlineStr">
        <is>
          <t>004990</t>
        </is>
      </c>
      <c r="C322" t="inlineStr">
        <is>
          <t>영업이익</t>
        </is>
      </c>
      <c r="D322" t="inlineStr">
        <is>
          <t>당기 YTD</t>
        </is>
      </c>
      <c r="E322" s="3" t="n">
        <v>175054517946</v>
      </c>
      <c r="F322" t="inlineStr">
        <is>
          <t>id</t>
        </is>
      </c>
      <c r="G322" t="inlineStr">
        <is>
          <t>dart_OperatingIncomeLoss</t>
        </is>
      </c>
      <c r="H322" t="inlineStr">
        <is>
          <t>영업이익(손실)</t>
        </is>
      </c>
      <c r="I322" t="inlineStr">
        <is>
          <t>20260814004197</t>
        </is>
      </c>
      <c r="J322" s="4" t="inlineStr">
        <is>
          <t>열기</t>
        </is>
      </c>
    </row>
    <row r="323">
      <c r="A323" t="inlineStr">
        <is>
          <t>롯데지주</t>
        </is>
      </c>
      <c r="B323" t="inlineStr">
        <is>
          <t>004990</t>
        </is>
      </c>
      <c r="C323" t="inlineStr">
        <is>
          <t>영업이익</t>
        </is>
      </c>
      <c r="D323" t="inlineStr">
        <is>
          <t>전년 연간</t>
        </is>
      </c>
      <c r="E323" s="3" t="n">
        <v>239439333968</v>
      </c>
      <c r="F323" t="inlineStr"/>
      <c r="I323" t="inlineStr">
        <is>
          <t>20260316001619</t>
        </is>
      </c>
      <c r="J323" s="4" t="inlineStr">
        <is>
          <t>열기</t>
        </is>
      </c>
    </row>
    <row r="324">
      <c r="A324" t="inlineStr">
        <is>
          <t>롯데지주</t>
        </is>
      </c>
      <c r="B324" t="inlineStr">
        <is>
          <t>004990</t>
        </is>
      </c>
      <c r="C324" t="inlineStr">
        <is>
          <t>영업이익</t>
        </is>
      </c>
      <c r="D324" t="inlineStr">
        <is>
          <t>전년 동기 YTD</t>
        </is>
      </c>
      <c r="E324" s="3" t="n">
        <v>160153874683</v>
      </c>
      <c r="F324" t="inlineStr"/>
      <c r="I324" t="inlineStr">
        <is>
          <t>20250814004439</t>
        </is>
      </c>
      <c r="J324" s="4" t="inlineStr">
        <is>
          <t>열기</t>
        </is>
      </c>
    </row>
    <row r="325">
      <c r="A325" t="inlineStr">
        <is>
          <t>롯데지주</t>
        </is>
      </c>
      <c r="B325" t="inlineStr">
        <is>
          <t>004990</t>
        </is>
      </c>
      <c r="C325" t="inlineStr">
        <is>
          <t>영업현금흐름</t>
        </is>
      </c>
      <c r="D325" t="inlineStr">
        <is>
          <t>당기 YTD</t>
        </is>
      </c>
      <c r="E325" s="3" t="n">
        <v>604198969594</v>
      </c>
      <c r="F325" t="inlineStr">
        <is>
          <t>id</t>
        </is>
      </c>
      <c r="G325" t="inlineStr">
        <is>
          <t>ifrs-full_CashFlowsFromUsedInOperatingActivities</t>
        </is>
      </c>
      <c r="H325" t="inlineStr">
        <is>
          <t>영업활동현금흐름</t>
        </is>
      </c>
      <c r="I325" t="inlineStr">
        <is>
          <t>20260814004197</t>
        </is>
      </c>
      <c r="J325" s="4" t="inlineStr">
        <is>
          <t>열기</t>
        </is>
      </c>
    </row>
    <row r="326">
      <c r="A326" t="inlineStr">
        <is>
          <t>롯데지주</t>
        </is>
      </c>
      <c r="B326" t="inlineStr">
        <is>
          <t>004990</t>
        </is>
      </c>
      <c r="C326" t="inlineStr">
        <is>
          <t>영업현금흐름</t>
        </is>
      </c>
      <c r="D326" t="inlineStr">
        <is>
          <t>전년 연간</t>
        </is>
      </c>
      <c r="E326" s="3" t="n">
        <v>1156131183818</v>
      </c>
      <c r="F326" t="inlineStr"/>
      <c r="I326" t="inlineStr">
        <is>
          <t>20260316001619</t>
        </is>
      </c>
      <c r="J326" s="4" t="inlineStr">
        <is>
          <t>열기</t>
        </is>
      </c>
    </row>
    <row r="327">
      <c r="A327" t="inlineStr">
        <is>
          <t>롯데지주</t>
        </is>
      </c>
      <c r="B327" t="inlineStr">
        <is>
          <t>004990</t>
        </is>
      </c>
      <c r="C327" t="inlineStr">
        <is>
          <t>영업현금흐름</t>
        </is>
      </c>
      <c r="D327" t="inlineStr">
        <is>
          <t>전년 동기 YTD</t>
        </is>
      </c>
      <c r="E327" s="3" t="n">
        <v>448102936859</v>
      </c>
      <c r="F327" t="inlineStr"/>
      <c r="I327" t="inlineStr">
        <is>
          <t>20250814004439</t>
        </is>
      </c>
      <c r="J327" s="4" t="inlineStr">
        <is>
          <t>열기</t>
        </is>
      </c>
    </row>
    <row r="328">
      <c r="A328" t="inlineStr">
        <is>
          <t>롯데지주</t>
        </is>
      </c>
      <c r="B328" t="inlineStr">
        <is>
          <t>004990</t>
        </is>
      </c>
      <c r="C328" t="inlineStr">
        <is>
          <t>지배주주자본</t>
        </is>
      </c>
      <c r="D328" t="inlineStr">
        <is>
          <t>당기말</t>
        </is>
      </c>
      <c r="E328" s="3" t="n">
        <v>6395557318834</v>
      </c>
      <c r="F328" t="inlineStr">
        <is>
          <t>id</t>
        </is>
      </c>
      <c r="G328" t="inlineStr">
        <is>
          <t>ifrs-full_EquityAttributableToOwnersOfParent</t>
        </is>
      </c>
      <c r="H328" t="inlineStr">
        <is>
          <t>지배기업 소유주지분</t>
        </is>
      </c>
      <c r="I328" t="inlineStr">
        <is>
          <t>20260814004197</t>
        </is>
      </c>
      <c r="J328" s="4" t="inlineStr">
        <is>
          <t>열기</t>
        </is>
      </c>
    </row>
    <row r="329">
      <c r="A329" t="inlineStr">
        <is>
          <t>롯데지주</t>
        </is>
      </c>
      <c r="B329" t="inlineStr">
        <is>
          <t>004990</t>
        </is>
      </c>
      <c r="C329" t="inlineStr">
        <is>
          <t>지배주주자본</t>
        </is>
      </c>
      <c r="D329" t="inlineStr">
        <is>
          <t>전년 동기말</t>
        </is>
      </c>
      <c r="E329" s="3" t="n">
        <v>5940329474021</v>
      </c>
      <c r="F329" t="inlineStr"/>
      <c r="I329" t="inlineStr">
        <is>
          <t>20250814004439</t>
        </is>
      </c>
      <c r="J329" s="4" t="inlineStr">
        <is>
          <t>열기</t>
        </is>
      </c>
    </row>
    <row r="330">
      <c r="A330" t="inlineStr">
        <is>
          <t>롯데지주</t>
        </is>
      </c>
      <c r="B330" t="inlineStr">
        <is>
          <t>004990</t>
        </is>
      </c>
      <c r="C330" t="inlineStr">
        <is>
          <t>자산총계</t>
        </is>
      </c>
      <c r="D330" t="inlineStr">
        <is>
          <t>당기말</t>
        </is>
      </c>
      <c r="E330" s="3" t="n">
        <v>23652508149907</v>
      </c>
      <c r="F330" t="inlineStr">
        <is>
          <t>id</t>
        </is>
      </c>
      <c r="G330" t="inlineStr">
        <is>
          <t>ifrs-full_Assets</t>
        </is>
      </c>
      <c r="H330" t="inlineStr">
        <is>
          <t>자산총계</t>
        </is>
      </c>
      <c r="I330" t="inlineStr">
        <is>
          <t>20260814004197</t>
        </is>
      </c>
      <c r="J330" s="4" t="inlineStr">
        <is>
          <t>열기</t>
        </is>
      </c>
    </row>
    <row r="331">
      <c r="A331" t="inlineStr">
        <is>
          <t>롯데지주</t>
        </is>
      </c>
      <c r="B331" t="inlineStr">
        <is>
          <t>004990</t>
        </is>
      </c>
      <c r="C331" t="inlineStr">
        <is>
          <t>자산총계</t>
        </is>
      </c>
      <c r="D331" t="inlineStr">
        <is>
          <t>전년 동기말</t>
        </is>
      </c>
      <c r="E331" s="3" t="n">
        <v>22467936174334</v>
      </c>
      <c r="F331" t="inlineStr"/>
      <c r="I331" t="inlineStr">
        <is>
          <t>20250814004439</t>
        </is>
      </c>
      <c r="J331" s="4" t="inlineStr">
        <is>
          <t>열기</t>
        </is>
      </c>
    </row>
    <row r="332">
      <c r="A332" t="inlineStr">
        <is>
          <t>롯데지주</t>
        </is>
      </c>
      <c r="B332" t="inlineStr">
        <is>
          <t>004990</t>
        </is>
      </c>
      <c r="C332" t="inlineStr">
        <is>
          <t>이자부부채</t>
        </is>
      </c>
      <c r="D332" t="inlineStr">
        <is>
          <t>당기말</t>
        </is>
      </c>
      <c r="E332" s="3" t="n">
        <v>8646179801846</v>
      </c>
      <c r="F332" t="inlineStr">
        <is>
          <t>id</t>
        </is>
      </c>
      <c r="G332" t="inlineStr">
        <is>
          <t>ifrs-full_CurrentBorrowingsAndCurrentPortionOfNoncurrentBorrowings + ifrs-full_LongtermBorrowings</t>
        </is>
      </c>
      <c r="H332" t="inlineStr">
        <is>
          <t>단기차입금및사채 + 장기차입금및사채</t>
        </is>
      </c>
      <c r="I332" t="inlineStr">
        <is>
          <t>20260814004197</t>
        </is>
      </c>
      <c r="J332" s="4" t="inlineStr">
        <is>
          <t>열기</t>
        </is>
      </c>
    </row>
    <row r="333">
      <c r="A333" t="inlineStr">
        <is>
          <t>롯데지주</t>
        </is>
      </c>
      <c r="B333" t="inlineStr">
        <is>
          <t>004990</t>
        </is>
      </c>
      <c r="C333" t="inlineStr">
        <is>
          <t>이자부부채</t>
        </is>
      </c>
      <c r="D333" t="inlineStr">
        <is>
          <t>전년 동기말</t>
        </is>
      </c>
      <c r="E333" s="3" t="n">
        <v>8577926248556</v>
      </c>
      <c r="F333" t="inlineStr"/>
      <c r="I333" t="inlineStr">
        <is>
          <t>20250814004439</t>
        </is>
      </c>
      <c r="J333" s="4" t="inlineStr">
        <is>
          <t>열기</t>
        </is>
      </c>
    </row>
    <row r="334">
      <c r="A334" t="inlineStr">
        <is>
          <t>롯데지주</t>
        </is>
      </c>
      <c r="B334" t="inlineStr">
        <is>
          <t>004990</t>
        </is>
      </c>
      <c r="C334" t="inlineStr">
        <is>
          <t>현금성자산</t>
        </is>
      </c>
      <c r="D334" t="inlineStr">
        <is>
          <t>당기말</t>
        </is>
      </c>
      <c r="E334" s="3" t="n">
        <v>1236179966409</v>
      </c>
      <c r="F334" t="inlineStr">
        <is>
          <t>id</t>
        </is>
      </c>
      <c r="G334" t="inlineStr">
        <is>
          <t>ifrs-full_CashAndCashEquivalents</t>
        </is>
      </c>
      <c r="H334" t="inlineStr">
        <is>
          <t>현금및현금성자산</t>
        </is>
      </c>
      <c r="I334" t="inlineStr">
        <is>
          <t>20260814004197</t>
        </is>
      </c>
      <c r="J334" s="4" t="inlineStr">
        <is>
          <t>열기</t>
        </is>
      </c>
    </row>
    <row r="335">
      <c r="A335" t="inlineStr">
        <is>
          <t>롯데지주</t>
        </is>
      </c>
      <c r="B335" t="inlineStr">
        <is>
          <t>004990</t>
        </is>
      </c>
      <c r="C335" t="inlineStr">
        <is>
          <t>현금성자산</t>
        </is>
      </c>
      <c r="D335" t="inlineStr">
        <is>
          <t>전년 동기말</t>
        </is>
      </c>
      <c r="E335" s="3" t="n">
        <v>1170280786761</v>
      </c>
      <c r="F335" t="inlineStr"/>
      <c r="I335" t="inlineStr">
        <is>
          <t>20250814004439</t>
        </is>
      </c>
      <c r="J335" s="4" t="inlineStr">
        <is>
          <t>열기</t>
        </is>
      </c>
    </row>
    <row r="336">
      <c r="A336" t="inlineStr">
        <is>
          <t>롯데지주</t>
        </is>
      </c>
      <c r="B336" t="inlineStr">
        <is>
          <t>004990</t>
        </is>
      </c>
      <c r="C336" t="inlineStr">
        <is>
          <t>단기금융상품</t>
        </is>
      </c>
      <c r="D336" t="inlineStr">
        <is>
          <t>당기말</t>
        </is>
      </c>
      <c r="E336" s="3" t="n">
        <v>0</v>
      </c>
      <c r="F336" t="inlineStr">
        <is>
          <t>zero_default</t>
        </is>
      </c>
      <c r="I336" t="inlineStr">
        <is>
          <t>20260814004197</t>
        </is>
      </c>
      <c r="J336" s="4" t="inlineStr">
        <is>
          <t>열기</t>
        </is>
      </c>
    </row>
    <row r="337">
      <c r="A337" t="inlineStr">
        <is>
          <t>롯데지주</t>
        </is>
      </c>
      <c r="B337" t="inlineStr">
        <is>
          <t>004990</t>
        </is>
      </c>
      <c r="C337" t="inlineStr">
        <is>
          <t>단기금융상품</t>
        </is>
      </c>
      <c r="D337" t="inlineStr">
        <is>
          <t>전년 동기말</t>
        </is>
      </c>
      <c r="E337" s="3" t="n">
        <v>0</v>
      </c>
      <c r="F337" t="inlineStr"/>
      <c r="I337" t="inlineStr">
        <is>
          <t>20250814004439</t>
        </is>
      </c>
      <c r="J337" s="4" t="inlineStr">
        <is>
          <t>열기</t>
        </is>
      </c>
    </row>
    <row r="338">
      <c r="A338" t="inlineStr">
        <is>
          <t>한화플러스제4호스팩</t>
        </is>
      </c>
      <c r="B338" t="inlineStr">
        <is>
          <t>455310</t>
        </is>
      </c>
      <c r="C338" t="inlineStr">
        <is>
          <t>지배주주순이익</t>
        </is>
      </c>
      <c r="D338" t="inlineStr">
        <is>
          <t>당기 YTD</t>
        </is>
      </c>
      <c r="E338" s="3" t="n">
        <v>155199091</v>
      </c>
      <c r="F338" t="inlineStr">
        <is>
          <t>separate_only</t>
        </is>
      </c>
      <c r="G338" t="inlineStr">
        <is>
          <t>ifrs-full_ProfitLoss</t>
        </is>
      </c>
      <c r="H338" t="inlineStr">
        <is>
          <t>당기순이익(손실)</t>
        </is>
      </c>
      <c r="I338" t="inlineStr">
        <is>
          <t>20260319000961</t>
        </is>
      </c>
      <c r="J338" s="4" t="inlineStr">
        <is>
          <t>열기</t>
        </is>
      </c>
    </row>
    <row r="339">
      <c r="A339" t="inlineStr">
        <is>
          <t>한화플러스제4호스팩</t>
        </is>
      </c>
      <c r="B339" t="inlineStr">
        <is>
          <t>455310</t>
        </is>
      </c>
      <c r="C339" t="inlineStr">
        <is>
          <t>지배주주순이익</t>
        </is>
      </c>
      <c r="D339" t="inlineStr">
        <is>
          <t>전년 연간</t>
        </is>
      </c>
      <c r="E339" s="3" t="n">
        <v>218602597</v>
      </c>
      <c r="F339" t="inlineStr"/>
      <c r="I339" t="inlineStr">
        <is>
          <t>20250321001376</t>
        </is>
      </c>
      <c r="J339" s="4" t="inlineStr">
        <is>
          <t>열기</t>
        </is>
      </c>
    </row>
    <row r="340">
      <c r="A340" t="inlineStr">
        <is>
          <t>한화플러스제4호스팩</t>
        </is>
      </c>
      <c r="B340" t="inlineStr">
        <is>
          <t>455310</t>
        </is>
      </c>
      <c r="C340" t="inlineStr">
        <is>
          <t>지배주주순이익</t>
        </is>
      </c>
      <c r="D340" t="inlineStr">
        <is>
          <t>전년 동기 YTD</t>
        </is>
      </c>
      <c r="E340" s="3" t="n">
        <v>218602597</v>
      </c>
      <c r="F340" t="inlineStr"/>
      <c r="I340" t="inlineStr">
        <is>
          <t>20250321001376</t>
        </is>
      </c>
      <c r="J340" s="4" t="inlineStr">
        <is>
          <t>열기</t>
        </is>
      </c>
    </row>
    <row r="341">
      <c r="A341" t="inlineStr">
        <is>
          <t>한화플러스제4호스팩</t>
        </is>
      </c>
      <c r="B341" t="inlineStr">
        <is>
          <t>455310</t>
        </is>
      </c>
      <c r="C341" t="inlineStr">
        <is>
          <t>당기순이익</t>
        </is>
      </c>
      <c r="D341" t="inlineStr">
        <is>
          <t>당기 YTD</t>
        </is>
      </c>
      <c r="E341" s="3" t="n">
        <v>155199091</v>
      </c>
      <c r="F341" t="inlineStr">
        <is>
          <t>id</t>
        </is>
      </c>
      <c r="G341" t="inlineStr">
        <is>
          <t>ifrs-full_ProfitLoss</t>
        </is>
      </c>
      <c r="H341" t="inlineStr">
        <is>
          <t>당기순이익(손실)</t>
        </is>
      </c>
      <c r="I341" t="inlineStr">
        <is>
          <t>20260319000961</t>
        </is>
      </c>
      <c r="J341" s="4" t="inlineStr">
        <is>
          <t>열기</t>
        </is>
      </c>
    </row>
    <row r="342">
      <c r="A342" t="inlineStr">
        <is>
          <t>한화플러스제4호스팩</t>
        </is>
      </c>
      <c r="B342" t="inlineStr">
        <is>
          <t>455310</t>
        </is>
      </c>
      <c r="C342" t="inlineStr">
        <is>
          <t>당기순이익</t>
        </is>
      </c>
      <c r="D342" t="inlineStr">
        <is>
          <t>전년 연간</t>
        </is>
      </c>
      <c r="E342" s="3" t="n">
        <v>218602597</v>
      </c>
      <c r="F342" t="inlineStr"/>
      <c r="I342" t="inlineStr">
        <is>
          <t>20250321001376</t>
        </is>
      </c>
      <c r="J342" s="4" t="inlineStr">
        <is>
          <t>열기</t>
        </is>
      </c>
    </row>
    <row r="343">
      <c r="A343" t="inlineStr">
        <is>
          <t>한화플러스제4호스팩</t>
        </is>
      </c>
      <c r="B343" t="inlineStr">
        <is>
          <t>455310</t>
        </is>
      </c>
      <c r="C343" t="inlineStr">
        <is>
          <t>당기순이익</t>
        </is>
      </c>
      <c r="D343" t="inlineStr">
        <is>
          <t>전년 동기 YTD</t>
        </is>
      </c>
      <c r="E343" s="3" t="n">
        <v>218602597</v>
      </c>
      <c r="F343" t="inlineStr"/>
      <c r="I343" t="inlineStr">
        <is>
          <t>20250321001376</t>
        </is>
      </c>
      <c r="J343" s="4" t="inlineStr">
        <is>
          <t>열기</t>
        </is>
      </c>
    </row>
    <row r="344">
      <c r="A344" t="inlineStr">
        <is>
          <t>한화플러스제4호스팩</t>
        </is>
      </c>
      <c r="B344" t="inlineStr">
        <is>
          <t>455310</t>
        </is>
      </c>
      <c r="C344" t="inlineStr">
        <is>
          <t>매출액</t>
        </is>
      </c>
      <c r="D344" t="inlineStr">
        <is>
          <t>당기 YTD</t>
        </is>
      </c>
      <c r="E344" s="3" t="n">
        <v>0</v>
      </c>
      <c r="F344" t="inlineStr">
        <is>
          <t>id</t>
        </is>
      </c>
      <c r="G344" t="inlineStr">
        <is>
          <t>ifrs-full_Revenue</t>
        </is>
      </c>
      <c r="H344" t="inlineStr">
        <is>
          <t>수익(매출액)</t>
        </is>
      </c>
      <c r="I344" t="inlineStr">
        <is>
          <t>20260319000961</t>
        </is>
      </c>
      <c r="J344" s="4" t="inlineStr">
        <is>
          <t>열기</t>
        </is>
      </c>
    </row>
    <row r="345">
      <c r="A345" t="inlineStr">
        <is>
          <t>한화플러스제4호스팩</t>
        </is>
      </c>
      <c r="B345" t="inlineStr">
        <is>
          <t>455310</t>
        </is>
      </c>
      <c r="C345" t="inlineStr">
        <is>
          <t>매출액</t>
        </is>
      </c>
      <c r="D345" t="inlineStr">
        <is>
          <t>전년 연간</t>
        </is>
      </c>
      <c r="E345" s="3" t="n">
        <v>0</v>
      </c>
      <c r="F345" t="inlineStr"/>
      <c r="I345" t="inlineStr">
        <is>
          <t>20250321001376</t>
        </is>
      </c>
      <c r="J345" s="4" t="inlineStr">
        <is>
          <t>열기</t>
        </is>
      </c>
    </row>
    <row r="346">
      <c r="A346" t="inlineStr">
        <is>
          <t>한화플러스제4호스팩</t>
        </is>
      </c>
      <c r="B346" t="inlineStr">
        <is>
          <t>455310</t>
        </is>
      </c>
      <c r="C346" t="inlineStr">
        <is>
          <t>매출액</t>
        </is>
      </c>
      <c r="D346" t="inlineStr">
        <is>
          <t>전년 동기 YTD</t>
        </is>
      </c>
      <c r="E346" s="3" t="n">
        <v>0</v>
      </c>
      <c r="F346" t="inlineStr"/>
      <c r="I346" t="inlineStr">
        <is>
          <t>20250321001376</t>
        </is>
      </c>
      <c r="J346" s="4" t="inlineStr">
        <is>
          <t>열기</t>
        </is>
      </c>
    </row>
    <row r="347">
      <c r="A347" t="inlineStr">
        <is>
          <t>한화플러스제4호스팩</t>
        </is>
      </c>
      <c r="B347" t="inlineStr">
        <is>
          <t>455310</t>
        </is>
      </c>
      <c r="C347" t="inlineStr">
        <is>
          <t>매출총이익</t>
        </is>
      </c>
      <c r="D347" t="inlineStr">
        <is>
          <t>당기 YTD</t>
        </is>
      </c>
      <c r="E347" s="3" t="n"/>
      <c r="F347" t="inlineStr">
        <is>
          <t>none</t>
        </is>
      </c>
      <c r="I347" t="inlineStr">
        <is>
          <t>20260319000961</t>
        </is>
      </c>
      <c r="J347" s="4" t="inlineStr">
        <is>
          <t>열기</t>
        </is>
      </c>
    </row>
    <row r="348">
      <c r="A348" t="inlineStr">
        <is>
          <t>한화플러스제4호스팩</t>
        </is>
      </c>
      <c r="B348" t="inlineStr">
        <is>
          <t>455310</t>
        </is>
      </c>
      <c r="C348" t="inlineStr">
        <is>
          <t>매출총이익</t>
        </is>
      </c>
      <c r="D348" t="inlineStr">
        <is>
          <t>전년 연간</t>
        </is>
      </c>
      <c r="E348" s="3" t="n"/>
      <c r="F348" t="inlineStr"/>
      <c r="I348" t="inlineStr">
        <is>
          <t>20250321001376</t>
        </is>
      </c>
      <c r="J348" s="4" t="inlineStr">
        <is>
          <t>열기</t>
        </is>
      </c>
    </row>
    <row r="349">
      <c r="A349" t="inlineStr">
        <is>
          <t>한화플러스제4호스팩</t>
        </is>
      </c>
      <c r="B349" t="inlineStr">
        <is>
          <t>455310</t>
        </is>
      </c>
      <c r="C349" t="inlineStr">
        <is>
          <t>매출총이익</t>
        </is>
      </c>
      <c r="D349" t="inlineStr">
        <is>
          <t>전년 동기 YTD</t>
        </is>
      </c>
      <c r="E349" s="3" t="n"/>
      <c r="F349" t="inlineStr"/>
      <c r="I349" t="inlineStr">
        <is>
          <t>20250321001376</t>
        </is>
      </c>
      <c r="J349" s="4" t="inlineStr">
        <is>
          <t>열기</t>
        </is>
      </c>
    </row>
    <row r="350">
      <c r="A350" t="inlineStr">
        <is>
          <t>한화플러스제4호스팩</t>
        </is>
      </c>
      <c r="B350" t="inlineStr">
        <is>
          <t>455310</t>
        </is>
      </c>
      <c r="C350" t="inlineStr">
        <is>
          <t>영업이익</t>
        </is>
      </c>
      <c r="D350" t="inlineStr">
        <is>
          <t>당기 YTD</t>
        </is>
      </c>
      <c r="E350" s="3" t="n">
        <v>-60455970</v>
      </c>
      <c r="F350" t="inlineStr">
        <is>
          <t>id</t>
        </is>
      </c>
      <c r="G350" t="inlineStr">
        <is>
          <t>dart_OperatingIncomeLoss</t>
        </is>
      </c>
      <c r="H350" t="inlineStr">
        <is>
          <t>영업이익(손실)</t>
        </is>
      </c>
      <c r="I350" t="inlineStr">
        <is>
          <t>20260319000961</t>
        </is>
      </c>
      <c r="J350" s="4" t="inlineStr">
        <is>
          <t>열기</t>
        </is>
      </c>
    </row>
    <row r="351">
      <c r="A351" t="inlineStr">
        <is>
          <t>한화플러스제4호스팩</t>
        </is>
      </c>
      <c r="B351" t="inlineStr">
        <is>
          <t>455310</t>
        </is>
      </c>
      <c r="C351" t="inlineStr">
        <is>
          <t>영업이익</t>
        </is>
      </c>
      <c r="D351" t="inlineStr">
        <is>
          <t>전년 연간</t>
        </is>
      </c>
      <c r="E351" s="3" t="n">
        <v>-64213879</v>
      </c>
      <c r="F351" t="inlineStr"/>
      <c r="I351" t="inlineStr">
        <is>
          <t>20250321001376</t>
        </is>
      </c>
      <c r="J351" s="4" t="inlineStr">
        <is>
          <t>열기</t>
        </is>
      </c>
    </row>
    <row r="352">
      <c r="A352" t="inlineStr">
        <is>
          <t>한화플러스제4호스팩</t>
        </is>
      </c>
      <c r="B352" t="inlineStr">
        <is>
          <t>455310</t>
        </is>
      </c>
      <c r="C352" t="inlineStr">
        <is>
          <t>영업이익</t>
        </is>
      </c>
      <c r="D352" t="inlineStr">
        <is>
          <t>전년 동기 YTD</t>
        </is>
      </c>
      <c r="E352" s="3" t="n">
        <v>-64213879</v>
      </c>
      <c r="F352" t="inlineStr"/>
      <c r="I352" t="inlineStr">
        <is>
          <t>20250321001376</t>
        </is>
      </c>
      <c r="J352" s="4" t="inlineStr">
        <is>
          <t>열기</t>
        </is>
      </c>
    </row>
    <row r="353">
      <c r="A353" t="inlineStr">
        <is>
          <t>한화플러스제4호스팩</t>
        </is>
      </c>
      <c r="B353" t="inlineStr">
        <is>
          <t>455310</t>
        </is>
      </c>
      <c r="C353" t="inlineStr">
        <is>
          <t>영업현금흐름</t>
        </is>
      </c>
      <c r="D353" t="inlineStr">
        <is>
          <t>당기 YTD</t>
        </is>
      </c>
      <c r="E353" s="3" t="n">
        <v>-8522427</v>
      </c>
      <c r="F353" t="inlineStr">
        <is>
          <t>id</t>
        </is>
      </c>
      <c r="G353" t="inlineStr">
        <is>
          <t>ifrs-full_CashFlowsFromUsedInOperatingActivities</t>
        </is>
      </c>
      <c r="H353" t="inlineStr">
        <is>
          <t>영업활동현금흐름</t>
        </is>
      </c>
      <c r="I353" t="inlineStr">
        <is>
          <t>20260319000961</t>
        </is>
      </c>
      <c r="J353" s="4" t="inlineStr">
        <is>
          <t>열기</t>
        </is>
      </c>
    </row>
    <row r="354">
      <c r="A354" t="inlineStr">
        <is>
          <t>한화플러스제4호스팩</t>
        </is>
      </c>
      <c r="B354" t="inlineStr">
        <is>
          <t>455310</t>
        </is>
      </c>
      <c r="C354" t="inlineStr">
        <is>
          <t>영업현금흐름</t>
        </is>
      </c>
      <c r="D354" t="inlineStr">
        <is>
          <t>전년 연간</t>
        </is>
      </c>
      <c r="E354" s="3" t="n">
        <v>-55097036</v>
      </c>
      <c r="F354" t="inlineStr"/>
      <c r="I354" t="inlineStr">
        <is>
          <t>20250321001376</t>
        </is>
      </c>
      <c r="J354" s="4" t="inlineStr">
        <is>
          <t>열기</t>
        </is>
      </c>
    </row>
    <row r="355">
      <c r="A355" t="inlineStr">
        <is>
          <t>한화플러스제4호스팩</t>
        </is>
      </c>
      <c r="B355" t="inlineStr">
        <is>
          <t>455310</t>
        </is>
      </c>
      <c r="C355" t="inlineStr">
        <is>
          <t>영업현금흐름</t>
        </is>
      </c>
      <c r="D355" t="inlineStr">
        <is>
          <t>전년 동기 YTD</t>
        </is>
      </c>
      <c r="E355" s="3" t="n">
        <v>-55097036</v>
      </c>
      <c r="F355" t="inlineStr"/>
      <c r="I355" t="inlineStr">
        <is>
          <t>20250321001376</t>
        </is>
      </c>
      <c r="J355" s="4" t="inlineStr">
        <is>
          <t>열기</t>
        </is>
      </c>
    </row>
    <row r="356">
      <c r="A356" t="inlineStr">
        <is>
          <t>한화플러스제4호스팩</t>
        </is>
      </c>
      <c r="B356" t="inlineStr">
        <is>
          <t>455310</t>
        </is>
      </c>
      <c r="C356" t="inlineStr">
        <is>
          <t>지배주주자본</t>
        </is>
      </c>
      <c r="D356" t="inlineStr">
        <is>
          <t>당기말</t>
        </is>
      </c>
      <c r="E356" s="3" t="n">
        <v>10384229137</v>
      </c>
      <c r="F356" t="inlineStr">
        <is>
          <t>separate_only</t>
        </is>
      </c>
      <c r="G356" t="inlineStr">
        <is>
          <t>ifrs-full_Equity</t>
        </is>
      </c>
      <c r="H356" t="inlineStr">
        <is>
          <t>자본총계</t>
        </is>
      </c>
      <c r="I356" t="inlineStr">
        <is>
          <t>20260319000961</t>
        </is>
      </c>
      <c r="J356" s="4" t="inlineStr">
        <is>
          <t>열기</t>
        </is>
      </c>
    </row>
    <row r="357">
      <c r="A357" t="inlineStr">
        <is>
          <t>한화플러스제4호스팩</t>
        </is>
      </c>
      <c r="B357" t="inlineStr">
        <is>
          <t>455310</t>
        </is>
      </c>
      <c r="C357" t="inlineStr">
        <is>
          <t>지배주주자본</t>
        </is>
      </c>
      <c r="D357" t="inlineStr">
        <is>
          <t>전년 동기말</t>
        </is>
      </c>
      <c r="E357" s="3" t="n">
        <v>10229030046</v>
      </c>
      <c r="F357" t="inlineStr"/>
      <c r="I357" t="inlineStr">
        <is>
          <t>20250321001376</t>
        </is>
      </c>
      <c r="J357" s="4" t="inlineStr">
        <is>
          <t>열기</t>
        </is>
      </c>
    </row>
    <row r="358">
      <c r="A358" t="inlineStr">
        <is>
          <t>한화플러스제4호스팩</t>
        </is>
      </c>
      <c r="B358" t="inlineStr">
        <is>
          <t>455310</t>
        </is>
      </c>
      <c r="C358" t="inlineStr">
        <is>
          <t>자산총계</t>
        </is>
      </c>
      <c r="D358" t="inlineStr">
        <is>
          <t>당기말</t>
        </is>
      </c>
      <c r="E358" s="3" t="n">
        <v>12441749034</v>
      </c>
      <c r="F358" t="inlineStr">
        <is>
          <t>id</t>
        </is>
      </c>
      <c r="G358" t="inlineStr">
        <is>
          <t>ifrs-full_Assets</t>
        </is>
      </c>
      <c r="H358" t="inlineStr">
        <is>
          <t>자산총계</t>
        </is>
      </c>
      <c r="I358" t="inlineStr">
        <is>
          <t>20260319000961</t>
        </is>
      </c>
      <c r="J358" s="4" t="inlineStr">
        <is>
          <t>열기</t>
        </is>
      </c>
    </row>
    <row r="359">
      <c r="A359" t="inlineStr">
        <is>
          <t>한화플러스제4호스팩</t>
        </is>
      </c>
      <c r="B359" t="inlineStr">
        <is>
          <t>455310</t>
        </is>
      </c>
      <c r="C359" t="inlineStr">
        <is>
          <t>자산총계</t>
        </is>
      </c>
      <c r="D359" t="inlineStr">
        <is>
          <t>전년 동기말</t>
        </is>
      </c>
      <c r="E359" s="3" t="n">
        <v>12229529128</v>
      </c>
      <c r="F359" t="inlineStr"/>
      <c r="I359" t="inlineStr">
        <is>
          <t>20250321001376</t>
        </is>
      </c>
      <c r="J359" s="4" t="inlineStr">
        <is>
          <t>열기</t>
        </is>
      </c>
    </row>
    <row r="360">
      <c r="A360" t="inlineStr">
        <is>
          <t>한화플러스제4호스팩</t>
        </is>
      </c>
      <c r="B360" t="inlineStr">
        <is>
          <t>455310</t>
        </is>
      </c>
      <c r="C360" t="inlineStr">
        <is>
          <t>이자부부채</t>
        </is>
      </c>
      <c r="D360" t="inlineStr">
        <is>
          <t>당기말</t>
        </is>
      </c>
      <c r="E360" s="3" t="n">
        <v>1997421625</v>
      </c>
      <c r="F360" t="inlineStr">
        <is>
          <t>id</t>
        </is>
      </c>
      <c r="G360" t="inlineStr">
        <is>
          <t>dart_ConvertibleBonds</t>
        </is>
      </c>
      <c r="H360" t="inlineStr">
        <is>
          <t>전환사채, 총액</t>
        </is>
      </c>
      <c r="I360" t="inlineStr">
        <is>
          <t>20260319000961</t>
        </is>
      </c>
      <c r="J360" s="4" t="inlineStr">
        <is>
          <t>열기</t>
        </is>
      </c>
    </row>
    <row r="361">
      <c r="A361" t="inlineStr">
        <is>
          <t>한화플러스제4호스팩</t>
        </is>
      </c>
      <c r="B361" t="inlineStr">
        <is>
          <t>455310</t>
        </is>
      </c>
      <c r="C361" t="inlineStr">
        <is>
          <t>이자부부채</t>
        </is>
      </c>
      <c r="D361" t="inlineStr">
        <is>
          <t>전년 동기말</t>
        </is>
      </c>
      <c r="E361" s="3" t="n">
        <v>1916561879</v>
      </c>
      <c r="F361" t="inlineStr"/>
      <c r="I361" t="inlineStr">
        <is>
          <t>20250321001376</t>
        </is>
      </c>
      <c r="J361" s="4" t="inlineStr">
        <is>
          <t>열기</t>
        </is>
      </c>
    </row>
    <row r="362">
      <c r="A362" t="inlineStr">
        <is>
          <t>한화플러스제4호스팩</t>
        </is>
      </c>
      <c r="B362" t="inlineStr">
        <is>
          <t>455310</t>
        </is>
      </c>
      <c r="C362" t="inlineStr">
        <is>
          <t>현금성자산</t>
        </is>
      </c>
      <c r="D362" t="inlineStr">
        <is>
          <t>당기말</t>
        </is>
      </c>
      <c r="E362" s="3" t="n">
        <v>2263573479</v>
      </c>
      <c r="F362" t="inlineStr">
        <is>
          <t>id</t>
        </is>
      </c>
      <c r="G362" t="inlineStr">
        <is>
          <t>ifrs-full_CashAndCashEquivalents</t>
        </is>
      </c>
      <c r="H362" t="inlineStr">
        <is>
          <t>현금및현금성자산</t>
        </is>
      </c>
      <c r="I362" t="inlineStr">
        <is>
          <t>20260319000961</t>
        </is>
      </c>
      <c r="J362" s="4" t="inlineStr">
        <is>
          <t>열기</t>
        </is>
      </c>
    </row>
    <row r="363">
      <c r="A363" t="inlineStr">
        <is>
          <t>한화플러스제4호스팩</t>
        </is>
      </c>
      <c r="B363" t="inlineStr">
        <is>
          <t>455310</t>
        </is>
      </c>
      <c r="C363" t="inlineStr">
        <is>
          <t>현금성자산</t>
        </is>
      </c>
      <c r="D363" t="inlineStr">
        <is>
          <t>전년 동기말</t>
        </is>
      </c>
      <c r="E363" s="3" t="n">
        <v>2272095906</v>
      </c>
      <c r="F363" t="inlineStr"/>
      <c r="I363" t="inlineStr">
        <is>
          <t>20250321001376</t>
        </is>
      </c>
      <c r="J363" s="4" t="inlineStr">
        <is>
          <t>열기</t>
        </is>
      </c>
    </row>
    <row r="364">
      <c r="A364" t="inlineStr">
        <is>
          <t>한화플러스제4호스팩</t>
        </is>
      </c>
      <c r="B364" t="inlineStr">
        <is>
          <t>455310</t>
        </is>
      </c>
      <c r="C364" t="inlineStr">
        <is>
          <t>단기금융상품</t>
        </is>
      </c>
      <c r="D364" t="inlineStr">
        <is>
          <t>당기말</t>
        </is>
      </c>
      <c r="E364" s="3" t="n">
        <v>10063080436</v>
      </c>
      <c r="F364" t="inlineStr">
        <is>
          <t>id</t>
        </is>
      </c>
      <c r="G364" t="inlineStr">
        <is>
          <t>ifrs-full_ShorttermDepositsNotClassifiedAsCashEquivalents</t>
        </is>
      </c>
      <c r="H364" t="inlineStr">
        <is>
          <t>단기금융상품</t>
        </is>
      </c>
      <c r="I364" t="inlineStr">
        <is>
          <t>20260319000961</t>
        </is>
      </c>
      <c r="J364" s="4" t="inlineStr">
        <is>
          <t>열기</t>
        </is>
      </c>
    </row>
    <row r="365">
      <c r="A365" t="inlineStr">
        <is>
          <t>한화플러스제4호스팩</t>
        </is>
      </c>
      <c r="B365" t="inlineStr">
        <is>
          <t>455310</t>
        </is>
      </c>
      <c r="C365" t="inlineStr">
        <is>
          <t>단기금융상품</t>
        </is>
      </c>
      <c r="D365" t="inlineStr">
        <is>
          <t>전년 동기말</t>
        </is>
      </c>
      <c r="E365" s="3" t="n">
        <v>9797748375</v>
      </c>
      <c r="F365" t="inlineStr"/>
      <c r="I365" t="inlineStr">
        <is>
          <t>20250321001376</t>
        </is>
      </c>
      <c r="J365" s="4" t="inlineStr">
        <is>
          <t>열기</t>
        </is>
      </c>
    </row>
    <row r="366">
      <c r="A366" t="inlineStr">
        <is>
          <t>세아특수강</t>
        </is>
      </c>
      <c r="B366" t="inlineStr">
        <is>
          <t>019440</t>
        </is>
      </c>
      <c r="C366" t="inlineStr">
        <is>
          <t>지배주주순이익</t>
        </is>
      </c>
      <c r="D366" t="inlineStr">
        <is>
          <t>당기 YTD</t>
        </is>
      </c>
      <c r="E366" s="3" t="n">
        <v>15177780491</v>
      </c>
      <c r="F366" t="inlineStr">
        <is>
          <t>id</t>
        </is>
      </c>
      <c r="G366" t="inlineStr">
        <is>
          <t>ifrs-full_ProfitLossAttributableToOwnersOfParent</t>
        </is>
      </c>
      <c r="H366" t="inlineStr">
        <is>
          <t>지배기업의 소유주에게 귀속되는 당기순이익(손실)</t>
        </is>
      </c>
      <c r="I366" t="inlineStr">
        <is>
          <t>20251114002977</t>
        </is>
      </c>
      <c r="J366" s="4" t="inlineStr">
        <is>
          <t>열기</t>
        </is>
      </c>
    </row>
    <row r="367">
      <c r="A367" t="inlineStr">
        <is>
          <t>세아특수강</t>
        </is>
      </c>
      <c r="B367" t="inlineStr">
        <is>
          <t>019440</t>
        </is>
      </c>
      <c r="C367" t="inlineStr">
        <is>
          <t>지배주주순이익</t>
        </is>
      </c>
      <c r="D367" t="inlineStr">
        <is>
          <t>전년 연간</t>
        </is>
      </c>
      <c r="E367" s="3" t="n">
        <v>10967344155</v>
      </c>
      <c r="F367" t="inlineStr"/>
      <c r="I367" t="inlineStr">
        <is>
          <t>20250314001717</t>
        </is>
      </c>
      <c r="J367" s="4" t="inlineStr">
        <is>
          <t>열기</t>
        </is>
      </c>
    </row>
    <row r="368">
      <c r="A368" t="inlineStr">
        <is>
          <t>세아특수강</t>
        </is>
      </c>
      <c r="B368" t="inlineStr">
        <is>
          <t>019440</t>
        </is>
      </c>
      <c r="C368" t="inlineStr">
        <is>
          <t>지배주주순이익</t>
        </is>
      </c>
      <c r="D368" t="inlineStr">
        <is>
          <t>전년 동기 YTD</t>
        </is>
      </c>
      <c r="E368" s="3" t="n">
        <v>6832237659</v>
      </c>
      <c r="F368" t="inlineStr"/>
      <c r="I368" t="inlineStr">
        <is>
          <t>20241114002821</t>
        </is>
      </c>
      <c r="J368" s="4" t="inlineStr">
        <is>
          <t>열기</t>
        </is>
      </c>
    </row>
    <row r="369">
      <c r="A369" t="inlineStr">
        <is>
          <t>세아특수강</t>
        </is>
      </c>
      <c r="B369" t="inlineStr">
        <is>
          <t>019440</t>
        </is>
      </c>
      <c r="C369" t="inlineStr">
        <is>
          <t>당기순이익</t>
        </is>
      </c>
      <c r="D369" t="inlineStr">
        <is>
          <t>당기 YTD</t>
        </is>
      </c>
      <c r="E369" s="3" t="n">
        <v>16173260591</v>
      </c>
      <c r="F369" t="inlineStr">
        <is>
          <t>id</t>
        </is>
      </c>
      <c r="G369" t="inlineStr">
        <is>
          <t>ifrs-full_ProfitLoss</t>
        </is>
      </c>
      <c r="H369" t="inlineStr">
        <is>
          <t>당기순이익(손실)</t>
        </is>
      </c>
      <c r="I369" t="inlineStr">
        <is>
          <t>20251114002977</t>
        </is>
      </c>
      <c r="J369" s="4" t="inlineStr">
        <is>
          <t>열기</t>
        </is>
      </c>
    </row>
    <row r="370">
      <c r="A370" t="inlineStr">
        <is>
          <t>세아특수강</t>
        </is>
      </c>
      <c r="B370" t="inlineStr">
        <is>
          <t>019440</t>
        </is>
      </c>
      <c r="C370" t="inlineStr">
        <is>
          <t>당기순이익</t>
        </is>
      </c>
      <c r="D370" t="inlineStr">
        <is>
          <t>전년 연간</t>
        </is>
      </c>
      <c r="E370" s="3" t="n">
        <v>11410828358</v>
      </c>
      <c r="F370" t="inlineStr"/>
      <c r="I370" t="inlineStr">
        <is>
          <t>20250314001717</t>
        </is>
      </c>
      <c r="J370" s="4" t="inlineStr">
        <is>
          <t>열기</t>
        </is>
      </c>
    </row>
    <row r="371">
      <c r="A371" t="inlineStr">
        <is>
          <t>세아특수강</t>
        </is>
      </c>
      <c r="B371" t="inlineStr">
        <is>
          <t>019440</t>
        </is>
      </c>
      <c r="C371" t="inlineStr">
        <is>
          <t>당기순이익</t>
        </is>
      </c>
      <c r="D371" t="inlineStr">
        <is>
          <t>전년 동기 YTD</t>
        </is>
      </c>
      <c r="E371" s="3" t="n">
        <v>7269747872</v>
      </c>
      <c r="F371" t="inlineStr"/>
      <c r="I371" t="inlineStr">
        <is>
          <t>20241114002821</t>
        </is>
      </c>
      <c r="J371" s="4" t="inlineStr">
        <is>
          <t>열기</t>
        </is>
      </c>
    </row>
    <row r="372">
      <c r="A372" t="inlineStr">
        <is>
          <t>세아특수강</t>
        </is>
      </c>
      <c r="B372" t="inlineStr">
        <is>
          <t>019440</t>
        </is>
      </c>
      <c r="C372" t="inlineStr">
        <is>
          <t>매출액</t>
        </is>
      </c>
      <c r="D372" t="inlineStr">
        <is>
          <t>당기 YTD</t>
        </is>
      </c>
      <c r="E372" s="3" t="n">
        <v>728097883903</v>
      </c>
      <c r="F372" t="inlineStr">
        <is>
          <t>id</t>
        </is>
      </c>
      <c r="G372" t="inlineStr">
        <is>
          <t>ifrs-full_Revenue</t>
        </is>
      </c>
      <c r="H372" t="inlineStr">
        <is>
          <t>수익(매출액)</t>
        </is>
      </c>
      <c r="I372" t="inlineStr">
        <is>
          <t>20251114002977</t>
        </is>
      </c>
      <c r="J372" s="4" t="inlineStr">
        <is>
          <t>열기</t>
        </is>
      </c>
    </row>
    <row r="373">
      <c r="A373" t="inlineStr">
        <is>
          <t>세아특수강</t>
        </is>
      </c>
      <c r="B373" t="inlineStr">
        <is>
          <t>019440</t>
        </is>
      </c>
      <c r="C373" t="inlineStr">
        <is>
          <t>매출액</t>
        </is>
      </c>
      <c r="D373" t="inlineStr">
        <is>
          <t>전년 연간</t>
        </is>
      </c>
      <c r="E373" s="3" t="n">
        <v>1008676692070</v>
      </c>
      <c r="F373" t="inlineStr"/>
      <c r="I373" t="inlineStr">
        <is>
          <t>20250314001717</t>
        </is>
      </c>
      <c r="J373" s="4" t="inlineStr">
        <is>
          <t>열기</t>
        </is>
      </c>
    </row>
    <row r="374">
      <c r="A374" t="inlineStr">
        <is>
          <t>세아특수강</t>
        </is>
      </c>
      <c r="B374" t="inlineStr">
        <is>
          <t>019440</t>
        </is>
      </c>
      <c r="C374" t="inlineStr">
        <is>
          <t>매출액</t>
        </is>
      </c>
      <c r="D374" t="inlineStr">
        <is>
          <t>전년 동기 YTD</t>
        </is>
      </c>
      <c r="E374" s="3" t="n">
        <v>752696198238</v>
      </c>
      <c r="F374" t="inlineStr"/>
      <c r="I374" t="inlineStr">
        <is>
          <t>20241114002821</t>
        </is>
      </c>
      <c r="J374" s="4" t="inlineStr">
        <is>
          <t>열기</t>
        </is>
      </c>
    </row>
    <row r="375">
      <c r="A375" t="inlineStr">
        <is>
          <t>세아특수강</t>
        </is>
      </c>
      <c r="B375" t="inlineStr">
        <is>
          <t>019440</t>
        </is>
      </c>
      <c r="C375" t="inlineStr">
        <is>
          <t>매출총이익</t>
        </is>
      </c>
      <c r="D375" t="inlineStr">
        <is>
          <t>당기 YTD</t>
        </is>
      </c>
      <c r="E375" s="3" t="n">
        <v>63970844147</v>
      </c>
      <c r="F375" t="inlineStr">
        <is>
          <t>id</t>
        </is>
      </c>
      <c r="G375" t="inlineStr">
        <is>
          <t>ifrs-full_GrossProfit</t>
        </is>
      </c>
      <c r="H375" t="inlineStr">
        <is>
          <t>매출총이익</t>
        </is>
      </c>
      <c r="I375" t="inlineStr">
        <is>
          <t>20251114002977</t>
        </is>
      </c>
      <c r="J375" s="4" t="inlineStr">
        <is>
          <t>열기</t>
        </is>
      </c>
    </row>
    <row r="376">
      <c r="A376" t="inlineStr">
        <is>
          <t>세아특수강</t>
        </is>
      </c>
      <c r="B376" t="inlineStr">
        <is>
          <t>019440</t>
        </is>
      </c>
      <c r="C376" t="inlineStr">
        <is>
          <t>매출총이익</t>
        </is>
      </c>
      <c r="D376" t="inlineStr">
        <is>
          <t>전년 연간</t>
        </is>
      </c>
      <c r="E376" s="3" t="n">
        <v>70420743470</v>
      </c>
      <c r="F376" t="inlineStr"/>
      <c r="I376" t="inlineStr">
        <is>
          <t>20250314001717</t>
        </is>
      </c>
      <c r="J376" s="4" t="inlineStr">
        <is>
          <t>열기</t>
        </is>
      </c>
    </row>
    <row r="377">
      <c r="A377" t="inlineStr">
        <is>
          <t>세아특수강</t>
        </is>
      </c>
      <c r="B377" t="inlineStr">
        <is>
          <t>019440</t>
        </is>
      </c>
      <c r="C377" t="inlineStr">
        <is>
          <t>매출총이익</t>
        </is>
      </c>
      <c r="D377" t="inlineStr">
        <is>
          <t>전년 동기 YTD</t>
        </is>
      </c>
      <c r="E377" s="3" t="n">
        <v>51186942108</v>
      </c>
      <c r="F377" t="inlineStr"/>
      <c r="I377" t="inlineStr">
        <is>
          <t>20241114002821</t>
        </is>
      </c>
      <c r="J377" s="4" t="inlineStr">
        <is>
          <t>열기</t>
        </is>
      </c>
    </row>
    <row r="378">
      <c r="A378" t="inlineStr">
        <is>
          <t>세아특수강</t>
        </is>
      </c>
      <c r="B378" t="inlineStr">
        <is>
          <t>019440</t>
        </is>
      </c>
      <c r="C378" t="inlineStr">
        <is>
          <t>영업이익</t>
        </is>
      </c>
      <c r="D378" t="inlineStr">
        <is>
          <t>당기 YTD</t>
        </is>
      </c>
      <c r="E378" s="3" t="n">
        <v>27337929347</v>
      </c>
      <c r="F378" t="inlineStr">
        <is>
          <t>id</t>
        </is>
      </c>
      <c r="G378" t="inlineStr">
        <is>
          <t>dart_OperatingIncomeLoss</t>
        </is>
      </c>
      <c r="H378" t="inlineStr">
        <is>
          <t>영업이익(손실)</t>
        </is>
      </c>
      <c r="I378" t="inlineStr">
        <is>
          <t>20251114002977</t>
        </is>
      </c>
      <c r="J378" s="4" t="inlineStr">
        <is>
          <t>열기</t>
        </is>
      </c>
    </row>
    <row r="379">
      <c r="A379" t="inlineStr">
        <is>
          <t>세아특수강</t>
        </is>
      </c>
      <c r="B379" t="inlineStr">
        <is>
          <t>019440</t>
        </is>
      </c>
      <c r="C379" t="inlineStr">
        <is>
          <t>영업이익</t>
        </is>
      </c>
      <c r="D379" t="inlineStr">
        <is>
          <t>전년 연간</t>
        </is>
      </c>
      <c r="E379" s="3" t="n">
        <v>22956958016</v>
      </c>
      <c r="F379" t="inlineStr"/>
      <c r="I379" t="inlineStr">
        <is>
          <t>20250314001717</t>
        </is>
      </c>
      <c r="J379" s="4" t="inlineStr">
        <is>
          <t>열기</t>
        </is>
      </c>
    </row>
    <row r="380">
      <c r="A380" t="inlineStr">
        <is>
          <t>세아특수강</t>
        </is>
      </c>
      <c r="B380" t="inlineStr">
        <is>
          <t>019440</t>
        </is>
      </c>
      <c r="C380" t="inlineStr">
        <is>
          <t>영업이익</t>
        </is>
      </c>
      <c r="D380" t="inlineStr">
        <is>
          <t>전년 동기 YTD</t>
        </is>
      </c>
      <c r="E380" s="3" t="n">
        <v>16326523497</v>
      </c>
      <c r="F380" t="inlineStr"/>
      <c r="I380" t="inlineStr">
        <is>
          <t>20241114002821</t>
        </is>
      </c>
      <c r="J380" s="4" t="inlineStr">
        <is>
          <t>열기</t>
        </is>
      </c>
    </row>
    <row r="381">
      <c r="A381" t="inlineStr">
        <is>
          <t>세아특수강</t>
        </is>
      </c>
      <c r="B381" t="inlineStr">
        <is>
          <t>019440</t>
        </is>
      </c>
      <c r="C381" t="inlineStr">
        <is>
          <t>영업현금흐름</t>
        </is>
      </c>
      <c r="D381" t="inlineStr">
        <is>
          <t>당기 YTD</t>
        </is>
      </c>
      <c r="E381" s="3" t="n">
        <v>32424430614</v>
      </c>
      <c r="F381" t="inlineStr">
        <is>
          <t>id</t>
        </is>
      </c>
      <c r="G381" t="inlineStr">
        <is>
          <t>ifrs-full_CashFlowsFromUsedInOperatingActivities</t>
        </is>
      </c>
      <c r="H381" t="inlineStr">
        <is>
          <t>영업활동현금흐름</t>
        </is>
      </c>
      <c r="I381" t="inlineStr">
        <is>
          <t>20251114002977</t>
        </is>
      </c>
      <c r="J381" s="4" t="inlineStr">
        <is>
          <t>열기</t>
        </is>
      </c>
    </row>
    <row r="382">
      <c r="A382" t="inlineStr">
        <is>
          <t>세아특수강</t>
        </is>
      </c>
      <c r="B382" t="inlineStr">
        <is>
          <t>019440</t>
        </is>
      </c>
      <c r="C382" t="inlineStr">
        <is>
          <t>영업현금흐름</t>
        </is>
      </c>
      <c r="D382" t="inlineStr">
        <is>
          <t>전년 연간</t>
        </is>
      </c>
      <c r="E382" s="3" t="n">
        <v>37177934554</v>
      </c>
      <c r="F382" t="inlineStr"/>
      <c r="I382" t="inlineStr">
        <is>
          <t>20250314001717</t>
        </is>
      </c>
      <c r="J382" s="4" t="inlineStr">
        <is>
          <t>열기</t>
        </is>
      </c>
    </row>
    <row r="383">
      <c r="A383" t="inlineStr">
        <is>
          <t>세아특수강</t>
        </is>
      </c>
      <c r="B383" t="inlineStr">
        <is>
          <t>019440</t>
        </is>
      </c>
      <c r="C383" t="inlineStr">
        <is>
          <t>영업현금흐름</t>
        </is>
      </c>
      <c r="D383" t="inlineStr">
        <is>
          <t>전년 동기 YTD</t>
        </is>
      </c>
      <c r="E383" s="3" t="n">
        <v>3298481730</v>
      </c>
      <c r="F383" t="inlineStr"/>
      <c r="I383" t="inlineStr">
        <is>
          <t>20241114002821</t>
        </is>
      </c>
      <c r="J383" s="4" t="inlineStr">
        <is>
          <t>열기</t>
        </is>
      </c>
    </row>
    <row r="384">
      <c r="A384" t="inlineStr">
        <is>
          <t>세아특수강</t>
        </is>
      </c>
      <c r="B384" t="inlineStr">
        <is>
          <t>019440</t>
        </is>
      </c>
      <c r="C384" t="inlineStr">
        <is>
          <t>지배주주자본</t>
        </is>
      </c>
      <c r="D384" t="inlineStr">
        <is>
          <t>당기말</t>
        </is>
      </c>
      <c r="E384" s="3" t="n">
        <v>336766245910</v>
      </c>
      <c r="F384" t="inlineStr">
        <is>
          <t>id</t>
        </is>
      </c>
      <c r="G384" t="inlineStr">
        <is>
          <t>ifrs-full_EquityAttributableToOwnersOfParent</t>
        </is>
      </c>
      <c r="H384" t="inlineStr">
        <is>
          <t>지배기업의 소유주에게 귀속되는 지분</t>
        </is>
      </c>
      <c r="I384" t="inlineStr">
        <is>
          <t>20251114002977</t>
        </is>
      </c>
      <c r="J384" s="4" t="inlineStr">
        <is>
          <t>열기</t>
        </is>
      </c>
    </row>
    <row r="385">
      <c r="A385" t="inlineStr">
        <is>
          <t>세아특수강</t>
        </is>
      </c>
      <c r="B385" t="inlineStr">
        <is>
          <t>019440</t>
        </is>
      </c>
      <c r="C385" t="inlineStr">
        <is>
          <t>지배주주자본</t>
        </is>
      </c>
      <c r="D385" t="inlineStr">
        <is>
          <t>전년 동기말</t>
        </is>
      </c>
      <c r="E385" s="3" t="n">
        <v>326339033895</v>
      </c>
      <c r="F385" t="inlineStr"/>
      <c r="I385" t="inlineStr">
        <is>
          <t>20241114002821</t>
        </is>
      </c>
      <c r="J385" s="4" t="inlineStr">
        <is>
          <t>열기</t>
        </is>
      </c>
    </row>
    <row r="386">
      <c r="A386" t="inlineStr">
        <is>
          <t>세아특수강</t>
        </is>
      </c>
      <c r="B386" t="inlineStr">
        <is>
          <t>019440</t>
        </is>
      </c>
      <c r="C386" t="inlineStr">
        <is>
          <t>자산총계</t>
        </is>
      </c>
      <c r="D386" t="inlineStr">
        <is>
          <t>당기말</t>
        </is>
      </c>
      <c r="E386" s="3" t="n">
        <v>682313521185</v>
      </c>
      <c r="F386" t="inlineStr">
        <is>
          <t>id</t>
        </is>
      </c>
      <c r="G386" t="inlineStr">
        <is>
          <t>ifrs-full_Assets</t>
        </is>
      </c>
      <c r="H386" t="inlineStr">
        <is>
          <t>자산총계</t>
        </is>
      </c>
      <c r="I386" t="inlineStr">
        <is>
          <t>20251114002977</t>
        </is>
      </c>
      <c r="J386" s="4" t="inlineStr">
        <is>
          <t>열기</t>
        </is>
      </c>
    </row>
    <row r="387">
      <c r="A387" t="inlineStr">
        <is>
          <t>세아특수강</t>
        </is>
      </c>
      <c r="B387" t="inlineStr">
        <is>
          <t>019440</t>
        </is>
      </c>
      <c r="C387" t="inlineStr">
        <is>
          <t>자산총계</t>
        </is>
      </c>
      <c r="D387" t="inlineStr">
        <is>
          <t>전년 동기말</t>
        </is>
      </c>
      <c r="E387" s="3" t="n">
        <v>667926700116</v>
      </c>
      <c r="F387" t="inlineStr"/>
      <c r="I387" t="inlineStr">
        <is>
          <t>20241114002821</t>
        </is>
      </c>
      <c r="J387" s="4" t="inlineStr">
        <is>
          <t>열기</t>
        </is>
      </c>
    </row>
    <row r="388">
      <c r="A388" t="inlineStr">
        <is>
          <t>세아특수강</t>
        </is>
      </c>
      <c r="B388" t="inlineStr">
        <is>
          <t>019440</t>
        </is>
      </c>
      <c r="C388" t="inlineStr">
        <is>
          <t>이자부부채</t>
        </is>
      </c>
      <c r="D388" t="inlineStr">
        <is>
          <t>당기말</t>
        </is>
      </c>
      <c r="E388" s="3" t="n">
        <v>23868300000</v>
      </c>
      <c r="F388" t="inlineStr">
        <is>
          <t>id</t>
        </is>
      </c>
      <c r="G388" t="inlineStr">
        <is>
          <t>ifrs-full_NoncurrentPortionOfNoncurrentLoansReceived</t>
        </is>
      </c>
      <c r="H388" t="inlineStr">
        <is>
          <t>비유동성 금융기관 차입금(사채 제외)</t>
        </is>
      </c>
      <c r="I388" t="inlineStr">
        <is>
          <t>20251114002977</t>
        </is>
      </c>
      <c r="J388" s="4" t="inlineStr">
        <is>
          <t>열기</t>
        </is>
      </c>
    </row>
    <row r="389">
      <c r="A389" t="inlineStr">
        <is>
          <t>세아특수강</t>
        </is>
      </c>
      <c r="B389" t="inlineStr">
        <is>
          <t>019440</t>
        </is>
      </c>
      <c r="C389" t="inlineStr">
        <is>
          <t>이자부부채</t>
        </is>
      </c>
      <c r="D389" t="inlineStr">
        <is>
          <t>전년 동기말</t>
        </is>
      </c>
      <c r="E389" s="3" t="n">
        <v>216383298440</v>
      </c>
      <c r="F389" t="inlineStr"/>
      <c r="I389" t="inlineStr">
        <is>
          <t>20241114002821</t>
        </is>
      </c>
      <c r="J389" s="4" t="inlineStr">
        <is>
          <t>열기</t>
        </is>
      </c>
    </row>
    <row r="390">
      <c r="A390" t="inlineStr">
        <is>
          <t>세아특수강</t>
        </is>
      </c>
      <c r="B390" t="inlineStr">
        <is>
          <t>019440</t>
        </is>
      </c>
      <c r="C390" t="inlineStr">
        <is>
          <t>현금성자산</t>
        </is>
      </c>
      <c r="D390" t="inlineStr">
        <is>
          <t>당기말</t>
        </is>
      </c>
      <c r="E390" s="3" t="n">
        <v>19779068174</v>
      </c>
      <c r="F390" t="inlineStr">
        <is>
          <t>id</t>
        </is>
      </c>
      <c r="G390" t="inlineStr">
        <is>
          <t>ifrs-full_CashAndCashEquivalents</t>
        </is>
      </c>
      <c r="H390" t="inlineStr">
        <is>
          <t>현금및현금성자산</t>
        </is>
      </c>
      <c r="I390" t="inlineStr">
        <is>
          <t>20251114002977</t>
        </is>
      </c>
      <c r="J390" s="4" t="inlineStr">
        <is>
          <t>열기</t>
        </is>
      </c>
    </row>
    <row r="391">
      <c r="A391" t="inlineStr">
        <is>
          <t>세아특수강</t>
        </is>
      </c>
      <c r="B391" t="inlineStr">
        <is>
          <t>019440</t>
        </is>
      </c>
      <c r="C391" t="inlineStr">
        <is>
          <t>현금성자산</t>
        </is>
      </c>
      <c r="D391" t="inlineStr">
        <is>
          <t>전년 동기말</t>
        </is>
      </c>
      <c r="E391" s="3" t="n">
        <v>9015350588</v>
      </c>
      <c r="F391" t="inlineStr"/>
      <c r="I391" t="inlineStr">
        <is>
          <t>20241114002821</t>
        </is>
      </c>
      <c r="J391" s="4" t="inlineStr">
        <is>
          <t>열기</t>
        </is>
      </c>
    </row>
    <row r="392">
      <c r="A392" t="inlineStr">
        <is>
          <t>세아특수강</t>
        </is>
      </c>
      <c r="B392" t="inlineStr">
        <is>
          <t>019440</t>
        </is>
      </c>
      <c r="C392" t="inlineStr">
        <is>
          <t>단기금융상품</t>
        </is>
      </c>
      <c r="D392" t="inlineStr">
        <is>
          <t>당기말</t>
        </is>
      </c>
      <c r="E392" s="3" t="n">
        <v>0</v>
      </c>
      <c r="F392" t="inlineStr">
        <is>
          <t>zero_default</t>
        </is>
      </c>
      <c r="I392" t="inlineStr">
        <is>
          <t>20251114002977</t>
        </is>
      </c>
      <c r="J392" s="4" t="inlineStr">
        <is>
          <t>열기</t>
        </is>
      </c>
    </row>
    <row r="393">
      <c r="A393" t="inlineStr">
        <is>
          <t>세아특수강</t>
        </is>
      </c>
      <c r="B393" t="inlineStr">
        <is>
          <t>019440</t>
        </is>
      </c>
      <c r="C393" t="inlineStr">
        <is>
          <t>단기금융상품</t>
        </is>
      </c>
      <c r="D393" t="inlineStr">
        <is>
          <t>전년 동기말</t>
        </is>
      </c>
      <c r="E393" s="3" t="n">
        <v>0</v>
      </c>
      <c r="F393" t="inlineStr"/>
      <c r="I393" t="inlineStr">
        <is>
          <t>20241114002821</t>
        </is>
      </c>
      <c r="J393" s="4" t="inlineStr">
        <is>
          <t>열기</t>
        </is>
      </c>
    </row>
    <row r="394">
      <c r="A394" t="inlineStr">
        <is>
          <t>더라미</t>
        </is>
      </c>
      <c r="B394" t="inlineStr">
        <is>
          <t>032860</t>
        </is>
      </c>
      <c r="C394" t="inlineStr">
        <is>
          <t>지배주주순이익</t>
        </is>
      </c>
      <c r="D394" t="inlineStr">
        <is>
          <t>당기 YTD</t>
        </is>
      </c>
      <c r="E394" s="3" t="n">
        <v>-1542948785</v>
      </c>
      <c r="F394" t="inlineStr">
        <is>
          <t>separate_only</t>
        </is>
      </c>
      <c r="G394" t="inlineStr">
        <is>
          <t>ifrs-full_ProfitLoss</t>
        </is>
      </c>
      <c r="H394" t="inlineStr">
        <is>
          <t>당기순이익(손실)</t>
        </is>
      </c>
      <c r="I394" t="inlineStr">
        <is>
          <t>20261001000436</t>
        </is>
      </c>
      <c r="J394" s="4" t="inlineStr">
        <is>
          <t>열기</t>
        </is>
      </c>
    </row>
    <row r="395">
      <c r="A395" t="inlineStr">
        <is>
          <t>더라미</t>
        </is>
      </c>
      <c r="B395" t="inlineStr">
        <is>
          <t>032860</t>
        </is>
      </c>
      <c r="C395" t="inlineStr">
        <is>
          <t>지배주주순이익</t>
        </is>
      </c>
      <c r="D395" t="inlineStr">
        <is>
          <t>전년 연간</t>
        </is>
      </c>
      <c r="E395" s="3" t="n">
        <v>-4645964740</v>
      </c>
      <c r="F395" t="inlineStr"/>
      <c r="I395" t="inlineStr">
        <is>
          <t>20260320001093</t>
        </is>
      </c>
      <c r="J395" s="4" t="inlineStr">
        <is>
          <t>열기</t>
        </is>
      </c>
    </row>
    <row r="396">
      <c r="A396" t="inlineStr">
        <is>
          <t>더라미</t>
        </is>
      </c>
      <c r="B396" t="inlineStr">
        <is>
          <t>032860</t>
        </is>
      </c>
      <c r="C396" t="inlineStr">
        <is>
          <t>지배주주순이익</t>
        </is>
      </c>
      <c r="D396" t="inlineStr">
        <is>
          <t>전년 동기 YTD</t>
        </is>
      </c>
      <c r="E396" s="3" t="n">
        <v>89252311</v>
      </c>
      <c r="F396" t="inlineStr"/>
      <c r="I396" t="inlineStr">
        <is>
          <t>20250814004213</t>
        </is>
      </c>
      <c r="J396" s="4" t="inlineStr">
        <is>
          <t>열기</t>
        </is>
      </c>
    </row>
    <row r="397">
      <c r="A397" t="inlineStr">
        <is>
          <t>더라미</t>
        </is>
      </c>
      <c r="B397" t="inlineStr">
        <is>
          <t>032860</t>
        </is>
      </c>
      <c r="C397" t="inlineStr">
        <is>
          <t>당기순이익</t>
        </is>
      </c>
      <c r="D397" t="inlineStr">
        <is>
          <t>당기 YTD</t>
        </is>
      </c>
      <c r="E397" s="3" t="n">
        <v>-1542948785</v>
      </c>
      <c r="F397" t="inlineStr">
        <is>
          <t>id</t>
        </is>
      </c>
      <c r="G397" t="inlineStr">
        <is>
          <t>ifrs-full_ProfitLoss</t>
        </is>
      </c>
      <c r="H397" t="inlineStr">
        <is>
          <t>당기순이익(손실)</t>
        </is>
      </c>
      <c r="I397" t="inlineStr">
        <is>
          <t>20261001000436</t>
        </is>
      </c>
      <c r="J397" s="4" t="inlineStr">
        <is>
          <t>열기</t>
        </is>
      </c>
    </row>
    <row r="398">
      <c r="A398" t="inlineStr">
        <is>
          <t>더라미</t>
        </is>
      </c>
      <c r="B398" t="inlineStr">
        <is>
          <t>032860</t>
        </is>
      </c>
      <c r="C398" t="inlineStr">
        <is>
          <t>당기순이익</t>
        </is>
      </c>
      <c r="D398" t="inlineStr">
        <is>
          <t>전년 연간</t>
        </is>
      </c>
      <c r="E398" s="3" t="n">
        <v>-4645964740</v>
      </c>
      <c r="F398" t="inlineStr"/>
      <c r="I398" t="inlineStr">
        <is>
          <t>20260320001093</t>
        </is>
      </c>
      <c r="J398" s="4" t="inlineStr">
        <is>
          <t>열기</t>
        </is>
      </c>
    </row>
    <row r="399">
      <c r="A399" t="inlineStr">
        <is>
          <t>더라미</t>
        </is>
      </c>
      <c r="B399" t="inlineStr">
        <is>
          <t>032860</t>
        </is>
      </c>
      <c r="C399" t="inlineStr">
        <is>
          <t>당기순이익</t>
        </is>
      </c>
      <c r="D399" t="inlineStr">
        <is>
          <t>전년 동기 YTD</t>
        </is>
      </c>
      <c r="E399" s="3" t="n">
        <v>89252311</v>
      </c>
      <c r="F399" t="inlineStr"/>
      <c r="I399" t="inlineStr">
        <is>
          <t>20250814004213</t>
        </is>
      </c>
      <c r="J399" s="4" t="inlineStr">
        <is>
          <t>열기</t>
        </is>
      </c>
    </row>
    <row r="400">
      <c r="A400" t="inlineStr">
        <is>
          <t>더라미</t>
        </is>
      </c>
      <c r="B400" t="inlineStr">
        <is>
          <t>032860</t>
        </is>
      </c>
      <c r="C400" t="inlineStr">
        <is>
          <t>매출액</t>
        </is>
      </c>
      <c r="D400" t="inlineStr">
        <is>
          <t>당기 YTD</t>
        </is>
      </c>
      <c r="E400" s="3" t="n">
        <v>22926644237</v>
      </c>
      <c r="F400" t="inlineStr">
        <is>
          <t>id</t>
        </is>
      </c>
      <c r="G400" t="inlineStr">
        <is>
          <t>ifrs-full_Revenue</t>
        </is>
      </c>
      <c r="H400" t="inlineStr">
        <is>
          <t>매출</t>
        </is>
      </c>
      <c r="I400" t="inlineStr">
        <is>
          <t>20261001000436</t>
        </is>
      </c>
      <c r="J400" s="4" t="inlineStr">
        <is>
          <t>열기</t>
        </is>
      </c>
    </row>
    <row r="401">
      <c r="A401" t="inlineStr">
        <is>
          <t>더라미</t>
        </is>
      </c>
      <c r="B401" t="inlineStr">
        <is>
          <t>032860</t>
        </is>
      </c>
      <c r="C401" t="inlineStr">
        <is>
          <t>매출액</t>
        </is>
      </c>
      <c r="D401" t="inlineStr">
        <is>
          <t>전년 연간</t>
        </is>
      </c>
      <c r="E401" s="3" t="n">
        <v>50919669504</v>
      </c>
      <c r="F401" t="inlineStr"/>
      <c r="I401" t="inlineStr">
        <is>
          <t>20260320001093</t>
        </is>
      </c>
      <c r="J401" s="4" t="inlineStr">
        <is>
          <t>열기</t>
        </is>
      </c>
    </row>
    <row r="402">
      <c r="A402" t="inlineStr">
        <is>
          <t>더라미</t>
        </is>
      </c>
      <c r="B402" t="inlineStr">
        <is>
          <t>032860</t>
        </is>
      </c>
      <c r="C402" t="inlineStr">
        <is>
          <t>매출액</t>
        </is>
      </c>
      <c r="D402" t="inlineStr">
        <is>
          <t>전년 동기 YTD</t>
        </is>
      </c>
      <c r="E402" s="3" t="n">
        <v>25811866461</v>
      </c>
      <c r="F402" t="inlineStr"/>
      <c r="I402" t="inlineStr">
        <is>
          <t>20250814004213</t>
        </is>
      </c>
      <c r="J402" s="4" t="inlineStr">
        <is>
          <t>열기</t>
        </is>
      </c>
    </row>
    <row r="403">
      <c r="A403" t="inlineStr">
        <is>
          <t>더라미</t>
        </is>
      </c>
      <c r="B403" t="inlineStr">
        <is>
          <t>032860</t>
        </is>
      </c>
      <c r="C403" t="inlineStr">
        <is>
          <t>매출총이익</t>
        </is>
      </c>
      <c r="D403" t="inlineStr">
        <is>
          <t>당기 YTD</t>
        </is>
      </c>
      <c r="E403" s="3" t="n">
        <v>3611421447</v>
      </c>
      <c r="F403" t="inlineStr">
        <is>
          <t>id</t>
        </is>
      </c>
      <c r="G403" t="inlineStr">
        <is>
          <t>ifrs-full_GrossProfit</t>
        </is>
      </c>
      <c r="H403" t="inlineStr">
        <is>
          <t>매출총이익</t>
        </is>
      </c>
      <c r="I403" t="inlineStr">
        <is>
          <t>20261001000436</t>
        </is>
      </c>
      <c r="J403" s="4" t="inlineStr">
        <is>
          <t>열기</t>
        </is>
      </c>
    </row>
    <row r="404">
      <c r="A404" t="inlineStr">
        <is>
          <t>더라미</t>
        </is>
      </c>
      <c r="B404" t="inlineStr">
        <is>
          <t>032860</t>
        </is>
      </c>
      <c r="C404" t="inlineStr">
        <is>
          <t>매출총이익</t>
        </is>
      </c>
      <c r="D404" t="inlineStr">
        <is>
          <t>전년 연간</t>
        </is>
      </c>
      <c r="E404" s="3" t="n">
        <v>7221644921</v>
      </c>
      <c r="F404" t="inlineStr"/>
      <c r="I404" t="inlineStr">
        <is>
          <t>20260320001093</t>
        </is>
      </c>
      <c r="J404" s="4" t="inlineStr">
        <is>
          <t>열기</t>
        </is>
      </c>
    </row>
    <row r="405">
      <c r="A405" t="inlineStr">
        <is>
          <t>더라미</t>
        </is>
      </c>
      <c r="B405" t="inlineStr">
        <is>
          <t>032860</t>
        </is>
      </c>
      <c r="C405" t="inlineStr">
        <is>
          <t>매출총이익</t>
        </is>
      </c>
      <c r="D405" t="inlineStr">
        <is>
          <t>전년 동기 YTD</t>
        </is>
      </c>
      <c r="E405" s="3" t="n">
        <v>3131530313</v>
      </c>
      <c r="F405" t="inlineStr"/>
      <c r="I405" t="inlineStr">
        <is>
          <t>20250814004213</t>
        </is>
      </c>
      <c r="J405" s="4" t="inlineStr">
        <is>
          <t>열기</t>
        </is>
      </c>
    </row>
    <row r="406">
      <c r="A406" t="inlineStr">
        <is>
          <t>더라미</t>
        </is>
      </c>
      <c r="B406" t="inlineStr">
        <is>
          <t>032860</t>
        </is>
      </c>
      <c r="C406" t="inlineStr">
        <is>
          <t>영업이익</t>
        </is>
      </c>
      <c r="D406" t="inlineStr">
        <is>
          <t>당기 YTD</t>
        </is>
      </c>
      <c r="E406" s="3" t="n">
        <v>-1473534255</v>
      </c>
      <c r="F406" t="inlineStr">
        <is>
          <t>id</t>
        </is>
      </c>
      <c r="G406" t="inlineStr">
        <is>
          <t>dart_OperatingIncomeLoss</t>
        </is>
      </c>
      <c r="H406" t="inlineStr">
        <is>
          <t>영업이익(손실)</t>
        </is>
      </c>
      <c r="I406" t="inlineStr">
        <is>
          <t>20261001000436</t>
        </is>
      </c>
      <c r="J406" s="4" t="inlineStr">
        <is>
          <t>열기</t>
        </is>
      </c>
    </row>
    <row r="407">
      <c r="A407" t="inlineStr">
        <is>
          <t>더라미</t>
        </is>
      </c>
      <c r="B407" t="inlineStr">
        <is>
          <t>032860</t>
        </is>
      </c>
      <c r="C407" t="inlineStr">
        <is>
          <t>영업이익</t>
        </is>
      </c>
      <c r="D407" t="inlineStr">
        <is>
          <t>전년 연간</t>
        </is>
      </c>
      <c r="E407" s="3" t="n">
        <v>-1720450576</v>
      </c>
      <c r="F407" t="inlineStr"/>
      <c r="I407" t="inlineStr">
        <is>
          <t>20260320001093</t>
        </is>
      </c>
      <c r="J407" s="4" t="inlineStr">
        <is>
          <t>열기</t>
        </is>
      </c>
    </row>
    <row r="408">
      <c r="A408" t="inlineStr">
        <is>
          <t>더라미</t>
        </is>
      </c>
      <c r="B408" t="inlineStr">
        <is>
          <t>032860</t>
        </is>
      </c>
      <c r="C408" t="inlineStr">
        <is>
          <t>영업이익</t>
        </is>
      </c>
      <c r="D408" t="inlineStr">
        <is>
          <t>전년 동기 YTD</t>
        </is>
      </c>
      <c r="E408" s="3" t="n">
        <v>-1144457906</v>
      </c>
      <c r="F408" t="inlineStr"/>
      <c r="I408" t="inlineStr">
        <is>
          <t>20250814004213</t>
        </is>
      </c>
      <c r="J408" s="4" t="inlineStr">
        <is>
          <t>열기</t>
        </is>
      </c>
    </row>
    <row r="409">
      <c r="A409" t="inlineStr">
        <is>
          <t>더라미</t>
        </is>
      </c>
      <c r="B409" t="inlineStr">
        <is>
          <t>032860</t>
        </is>
      </c>
      <c r="C409" t="inlineStr">
        <is>
          <t>영업현금흐름</t>
        </is>
      </c>
      <c r="D409" t="inlineStr">
        <is>
          <t>당기 YTD</t>
        </is>
      </c>
      <c r="E409" s="3" t="n">
        <v>-2569861872</v>
      </c>
      <c r="F409" t="inlineStr">
        <is>
          <t>id</t>
        </is>
      </c>
      <c r="G409" t="inlineStr">
        <is>
          <t>ifrs-full_CashFlowsFromUsedInOperatingActivities</t>
        </is>
      </c>
      <c r="H409" t="inlineStr">
        <is>
          <t>영업활동현금흐름</t>
        </is>
      </c>
      <c r="I409" t="inlineStr">
        <is>
          <t>20261001000436</t>
        </is>
      </c>
      <c r="J409" s="4" t="inlineStr">
        <is>
          <t>열기</t>
        </is>
      </c>
    </row>
    <row r="410">
      <c r="A410" t="inlineStr">
        <is>
          <t>더라미</t>
        </is>
      </c>
      <c r="B410" t="inlineStr">
        <is>
          <t>032860</t>
        </is>
      </c>
      <c r="C410" t="inlineStr">
        <is>
          <t>영업현금흐름</t>
        </is>
      </c>
      <c r="D410" t="inlineStr">
        <is>
          <t>전년 연간</t>
        </is>
      </c>
      <c r="E410" s="3" t="n">
        <v>-2128493654</v>
      </c>
      <c r="F410" t="inlineStr"/>
      <c r="I410" t="inlineStr">
        <is>
          <t>20260320001093</t>
        </is>
      </c>
      <c r="J410" s="4" t="inlineStr">
        <is>
          <t>열기</t>
        </is>
      </c>
    </row>
    <row r="411">
      <c r="A411" t="inlineStr">
        <is>
          <t>더라미</t>
        </is>
      </c>
      <c r="B411" t="inlineStr">
        <is>
          <t>032860</t>
        </is>
      </c>
      <c r="C411" t="inlineStr">
        <is>
          <t>영업현금흐름</t>
        </is>
      </c>
      <c r="D411" t="inlineStr">
        <is>
          <t>전년 동기 YTD</t>
        </is>
      </c>
      <c r="E411" s="3" t="n">
        <v>-535274535</v>
      </c>
      <c r="F411" t="inlineStr"/>
      <c r="I411" t="inlineStr">
        <is>
          <t>20250814004213</t>
        </is>
      </c>
      <c r="J411" s="4" t="inlineStr">
        <is>
          <t>열기</t>
        </is>
      </c>
    </row>
    <row r="412">
      <c r="A412" t="inlineStr">
        <is>
          <t>더라미</t>
        </is>
      </c>
      <c r="B412" t="inlineStr">
        <is>
          <t>032860</t>
        </is>
      </c>
      <c r="C412" t="inlineStr">
        <is>
          <t>지배주주자본</t>
        </is>
      </c>
      <c r="D412" t="inlineStr">
        <is>
          <t>당기말</t>
        </is>
      </c>
      <c r="E412" s="3" t="n">
        <v>50862387832</v>
      </c>
      <c r="F412" t="inlineStr">
        <is>
          <t>separate_only</t>
        </is>
      </c>
      <c r="G412" t="inlineStr">
        <is>
          <t>ifrs-full_Equity</t>
        </is>
      </c>
      <c r="H412" t="inlineStr">
        <is>
          <t>자본총계</t>
        </is>
      </c>
      <c r="I412" t="inlineStr">
        <is>
          <t>20261001000436</t>
        </is>
      </c>
      <c r="J412" s="4" t="inlineStr">
        <is>
          <t>열기</t>
        </is>
      </c>
    </row>
    <row r="413">
      <c r="A413" t="inlineStr">
        <is>
          <t>더라미</t>
        </is>
      </c>
      <c r="B413" t="inlineStr">
        <is>
          <t>032860</t>
        </is>
      </c>
      <c r="C413" t="inlineStr">
        <is>
          <t>지배주주자본</t>
        </is>
      </c>
      <c r="D413" t="inlineStr">
        <is>
          <t>전년 동기말</t>
        </is>
      </c>
      <c r="E413" s="3" t="n">
        <v>56797380269</v>
      </c>
      <c r="F413" t="inlineStr"/>
      <c r="I413" t="inlineStr">
        <is>
          <t>20250814004213</t>
        </is>
      </c>
      <c r="J413" s="4" t="inlineStr">
        <is>
          <t>열기</t>
        </is>
      </c>
    </row>
    <row r="414">
      <c r="A414" t="inlineStr">
        <is>
          <t>더라미</t>
        </is>
      </c>
      <c r="B414" t="inlineStr">
        <is>
          <t>032860</t>
        </is>
      </c>
      <c r="C414" t="inlineStr">
        <is>
          <t>자산총계</t>
        </is>
      </c>
      <c r="D414" t="inlineStr">
        <is>
          <t>당기말</t>
        </is>
      </c>
      <c r="E414" s="3" t="n">
        <v>53855747777</v>
      </c>
      <c r="F414" t="inlineStr">
        <is>
          <t>id</t>
        </is>
      </c>
      <c r="G414" t="inlineStr">
        <is>
          <t>ifrs-full_Assets</t>
        </is>
      </c>
      <c r="H414" t="inlineStr">
        <is>
          <t>자산총계</t>
        </is>
      </c>
      <c r="I414" t="inlineStr">
        <is>
          <t>20261001000436</t>
        </is>
      </c>
      <c r="J414" s="4" t="inlineStr">
        <is>
          <t>열기</t>
        </is>
      </c>
    </row>
    <row r="415">
      <c r="A415" t="inlineStr">
        <is>
          <t>더라미</t>
        </is>
      </c>
      <c r="B415" t="inlineStr">
        <is>
          <t>032860</t>
        </is>
      </c>
      <c r="C415" t="inlineStr">
        <is>
          <t>자산총계</t>
        </is>
      </c>
      <c r="D415" t="inlineStr">
        <is>
          <t>전년 동기말</t>
        </is>
      </c>
      <c r="E415" s="3" t="n">
        <v>59222615141</v>
      </c>
      <c r="F415" t="inlineStr"/>
      <c r="I415" t="inlineStr">
        <is>
          <t>20250814004213</t>
        </is>
      </c>
      <c r="J415" s="4" t="inlineStr">
        <is>
          <t>열기</t>
        </is>
      </c>
    </row>
    <row r="416">
      <c r="A416" t="inlineStr">
        <is>
          <t>더라미</t>
        </is>
      </c>
      <c r="B416" t="inlineStr">
        <is>
          <t>032860</t>
        </is>
      </c>
      <c r="C416" t="inlineStr">
        <is>
          <t>이자부부채</t>
        </is>
      </c>
      <c r="D416" t="inlineStr">
        <is>
          <t>당기말</t>
        </is>
      </c>
      <c r="E416" s="3" t="n">
        <v>453393640</v>
      </c>
      <c r="F416" t="inlineStr">
        <is>
          <t>id</t>
        </is>
      </c>
      <c r="G416" t="inlineStr">
        <is>
          <t>ifrs-full_NoncurrentLeaseLiabilities</t>
        </is>
      </c>
      <c r="H416" t="inlineStr">
        <is>
          <t>비유동 리스부채</t>
        </is>
      </c>
      <c r="I416" t="inlineStr">
        <is>
          <t>20261001000436</t>
        </is>
      </c>
      <c r="J416" s="4" t="inlineStr">
        <is>
          <t>열기</t>
        </is>
      </c>
    </row>
    <row r="417">
      <c r="A417" t="inlineStr">
        <is>
          <t>더라미</t>
        </is>
      </c>
      <c r="B417" t="inlineStr">
        <is>
          <t>032860</t>
        </is>
      </c>
      <c r="C417" t="inlineStr">
        <is>
          <t>이자부부채</t>
        </is>
      </c>
      <c r="D417" t="inlineStr">
        <is>
          <t>전년 동기말</t>
        </is>
      </c>
      <c r="E417" s="3" t="n">
        <v>597663053</v>
      </c>
      <c r="F417" t="inlineStr"/>
      <c r="I417" t="inlineStr">
        <is>
          <t>20250814004213</t>
        </is>
      </c>
      <c r="J417" s="4" t="inlineStr">
        <is>
          <t>열기</t>
        </is>
      </c>
    </row>
    <row r="418">
      <c r="A418" t="inlineStr">
        <is>
          <t>더라미</t>
        </is>
      </c>
      <c r="B418" t="inlineStr">
        <is>
          <t>032860</t>
        </is>
      </c>
      <c r="C418" t="inlineStr">
        <is>
          <t>현금성자산</t>
        </is>
      </c>
      <c r="D418" t="inlineStr">
        <is>
          <t>당기말</t>
        </is>
      </c>
      <c r="E418" s="3" t="n">
        <v>1102080565</v>
      </c>
      <c r="F418" t="inlineStr">
        <is>
          <t>id</t>
        </is>
      </c>
      <c r="G418" t="inlineStr">
        <is>
          <t>ifrs-full_CashAndCashEquivalents</t>
        </is>
      </c>
      <c r="H418" t="inlineStr">
        <is>
          <t>현금및현금성자산</t>
        </is>
      </c>
      <c r="I418" t="inlineStr">
        <is>
          <t>20261001000436</t>
        </is>
      </c>
      <c r="J418" s="4" t="inlineStr">
        <is>
          <t>열기</t>
        </is>
      </c>
    </row>
    <row r="419">
      <c r="A419" t="inlineStr">
        <is>
          <t>더라미</t>
        </is>
      </c>
      <c r="B419" t="inlineStr">
        <is>
          <t>032860</t>
        </is>
      </c>
      <c r="C419" t="inlineStr">
        <is>
          <t>현금성자산</t>
        </is>
      </c>
      <c r="D419" t="inlineStr">
        <is>
          <t>전년 동기말</t>
        </is>
      </c>
      <c r="E419" s="3" t="n">
        <v>2733164415</v>
      </c>
      <c r="F419" t="inlineStr"/>
      <c r="I419" t="inlineStr">
        <is>
          <t>20250814004213</t>
        </is>
      </c>
      <c r="J419" s="4" t="inlineStr">
        <is>
          <t>열기</t>
        </is>
      </c>
    </row>
    <row r="420">
      <c r="A420" t="inlineStr">
        <is>
          <t>더라미</t>
        </is>
      </c>
      <c r="B420" t="inlineStr">
        <is>
          <t>032860</t>
        </is>
      </c>
      <c r="C420" t="inlineStr">
        <is>
          <t>단기금융상품</t>
        </is>
      </c>
      <c r="D420" t="inlineStr">
        <is>
          <t>당기말</t>
        </is>
      </c>
      <c r="E420" s="3" t="n">
        <v>0</v>
      </c>
      <c r="F420" t="inlineStr">
        <is>
          <t>zero_default</t>
        </is>
      </c>
      <c r="I420" t="inlineStr">
        <is>
          <t>20261001000436</t>
        </is>
      </c>
      <c r="J420" s="4" t="inlineStr">
        <is>
          <t>열기</t>
        </is>
      </c>
    </row>
    <row r="421">
      <c r="A421" t="inlineStr">
        <is>
          <t>더라미</t>
        </is>
      </c>
      <c r="B421" t="inlineStr">
        <is>
          <t>032860</t>
        </is>
      </c>
      <c r="C421" t="inlineStr">
        <is>
          <t>단기금융상품</t>
        </is>
      </c>
      <c r="D421" t="inlineStr">
        <is>
          <t>전년 동기말</t>
        </is>
      </c>
      <c r="E421" s="3" t="n">
        <v>0</v>
      </c>
      <c r="F421" t="inlineStr"/>
      <c r="I421" t="inlineStr">
        <is>
          <t>20250814004213</t>
        </is>
      </c>
      <c r="J421" s="4" t="inlineStr">
        <is>
          <t>열기</t>
        </is>
      </c>
    </row>
    <row r="422">
      <c r="A422" t="inlineStr">
        <is>
          <t>인크레더블버즈</t>
        </is>
      </c>
      <c r="B422" t="inlineStr">
        <is>
          <t>064090</t>
        </is>
      </c>
      <c r="C422" t="inlineStr">
        <is>
          <t>지배주주순이익</t>
        </is>
      </c>
      <c r="D422" t="inlineStr">
        <is>
          <t>당기 YTD</t>
        </is>
      </c>
      <c r="E422" s="3" t="n">
        <v>-6909467351</v>
      </c>
      <c r="F422" t="inlineStr">
        <is>
          <t>id</t>
        </is>
      </c>
      <c r="G422" t="inlineStr">
        <is>
          <t>ifrs-full_ProfitLossAttributableToOwnersOfParent</t>
        </is>
      </c>
      <c r="H422" t="inlineStr">
        <is>
          <t>지배기업소유주지분</t>
        </is>
      </c>
      <c r="I422" t="inlineStr">
        <is>
          <t>20260814004242</t>
        </is>
      </c>
      <c r="J422" s="4" t="inlineStr">
        <is>
          <t>열기</t>
        </is>
      </c>
    </row>
    <row r="423">
      <c r="A423" t="inlineStr">
        <is>
          <t>인크레더블버즈</t>
        </is>
      </c>
      <c r="B423" t="inlineStr">
        <is>
          <t>064090</t>
        </is>
      </c>
      <c r="C423" t="inlineStr">
        <is>
          <t>지배주주순이익</t>
        </is>
      </c>
      <c r="D423" t="inlineStr">
        <is>
          <t>전년 연간</t>
        </is>
      </c>
      <c r="E423" s="3" t="n">
        <v>-30204179171</v>
      </c>
      <c r="F423" t="inlineStr"/>
      <c r="I423" t="inlineStr">
        <is>
          <t>20260407002435</t>
        </is>
      </c>
      <c r="J423" s="4" t="inlineStr">
        <is>
          <t>열기</t>
        </is>
      </c>
    </row>
    <row r="424">
      <c r="A424" t="inlineStr">
        <is>
          <t>인크레더블버즈</t>
        </is>
      </c>
      <c r="B424" t="inlineStr">
        <is>
          <t>064090</t>
        </is>
      </c>
      <c r="C424" t="inlineStr">
        <is>
          <t>지배주주순이익</t>
        </is>
      </c>
      <c r="D424" t="inlineStr">
        <is>
          <t>전년 동기 YTD</t>
        </is>
      </c>
      <c r="E424" s="3" t="n">
        <v>-19703292955</v>
      </c>
      <c r="F424" t="inlineStr"/>
      <c r="I424" t="inlineStr">
        <is>
          <t>20250814001655</t>
        </is>
      </c>
      <c r="J424" s="4" t="inlineStr">
        <is>
          <t>열기</t>
        </is>
      </c>
    </row>
    <row r="425">
      <c r="A425" t="inlineStr">
        <is>
          <t>인크레더블버즈</t>
        </is>
      </c>
      <c r="B425" t="inlineStr">
        <is>
          <t>064090</t>
        </is>
      </c>
      <c r="C425" t="inlineStr">
        <is>
          <t>당기순이익</t>
        </is>
      </c>
      <c r="D425" t="inlineStr">
        <is>
          <t>당기 YTD</t>
        </is>
      </c>
      <c r="E425" s="3" t="n">
        <v>-6909467351</v>
      </c>
      <c r="F425" t="inlineStr">
        <is>
          <t>id</t>
        </is>
      </c>
      <c r="G425" t="inlineStr">
        <is>
          <t>ifrs-full_ProfitLoss</t>
        </is>
      </c>
      <c r="H425" t="inlineStr">
        <is>
          <t>반기순이익(손실)</t>
        </is>
      </c>
      <c r="I425" t="inlineStr">
        <is>
          <t>20260814004242</t>
        </is>
      </c>
      <c r="J425" s="4" t="inlineStr">
        <is>
          <t>열기</t>
        </is>
      </c>
    </row>
    <row r="426">
      <c r="A426" t="inlineStr">
        <is>
          <t>인크레더블버즈</t>
        </is>
      </c>
      <c r="B426" t="inlineStr">
        <is>
          <t>064090</t>
        </is>
      </c>
      <c r="C426" t="inlineStr">
        <is>
          <t>당기순이익</t>
        </is>
      </c>
      <c r="D426" t="inlineStr">
        <is>
          <t>전년 연간</t>
        </is>
      </c>
      <c r="E426" s="3" t="n">
        <v>-30204179171</v>
      </c>
      <c r="F426" t="inlineStr"/>
      <c r="I426" t="inlineStr">
        <is>
          <t>20260407002435</t>
        </is>
      </c>
      <c r="J426" s="4" t="inlineStr">
        <is>
          <t>열기</t>
        </is>
      </c>
    </row>
    <row r="427">
      <c r="A427" t="inlineStr">
        <is>
          <t>인크레더블버즈</t>
        </is>
      </c>
      <c r="B427" t="inlineStr">
        <is>
          <t>064090</t>
        </is>
      </c>
      <c r="C427" t="inlineStr">
        <is>
          <t>당기순이익</t>
        </is>
      </c>
      <c r="D427" t="inlineStr">
        <is>
          <t>전년 동기 YTD</t>
        </is>
      </c>
      <c r="E427" s="3" t="n">
        <v>-19703292955</v>
      </c>
      <c r="F427" t="inlineStr"/>
      <c r="I427" t="inlineStr">
        <is>
          <t>20250814001655</t>
        </is>
      </c>
      <c r="J427" s="4" t="inlineStr">
        <is>
          <t>열기</t>
        </is>
      </c>
    </row>
    <row r="428">
      <c r="A428" t="inlineStr">
        <is>
          <t>인크레더블버즈</t>
        </is>
      </c>
      <c r="B428" t="inlineStr">
        <is>
          <t>064090</t>
        </is>
      </c>
      <c r="C428" t="inlineStr">
        <is>
          <t>매출액</t>
        </is>
      </c>
      <c r="D428" t="inlineStr">
        <is>
          <t>당기 YTD</t>
        </is>
      </c>
      <c r="E428" s="3" t="n">
        <v>2073836942</v>
      </c>
      <c r="F428" t="inlineStr">
        <is>
          <t>id</t>
        </is>
      </c>
      <c r="G428" t="inlineStr">
        <is>
          <t>ifrs-full_Revenue</t>
        </is>
      </c>
      <c r="H428" t="inlineStr">
        <is>
          <t>매출액</t>
        </is>
      </c>
      <c r="I428" t="inlineStr">
        <is>
          <t>20260814004242</t>
        </is>
      </c>
      <c r="J428" s="4" t="inlineStr">
        <is>
          <t>열기</t>
        </is>
      </c>
    </row>
    <row r="429">
      <c r="A429" t="inlineStr">
        <is>
          <t>인크레더블버즈</t>
        </is>
      </c>
      <c r="B429" t="inlineStr">
        <is>
          <t>064090</t>
        </is>
      </c>
      <c r="C429" t="inlineStr">
        <is>
          <t>매출액</t>
        </is>
      </c>
      <c r="D429" t="inlineStr">
        <is>
          <t>전년 연간</t>
        </is>
      </c>
      <c r="E429" s="3" t="n">
        <v>7211902064</v>
      </c>
      <c r="F429" t="inlineStr"/>
      <c r="I429" t="inlineStr">
        <is>
          <t>20260407002435</t>
        </is>
      </c>
      <c r="J429" s="4" t="inlineStr">
        <is>
          <t>열기</t>
        </is>
      </c>
    </row>
    <row r="430">
      <c r="A430" t="inlineStr">
        <is>
          <t>인크레더블버즈</t>
        </is>
      </c>
      <c r="B430" t="inlineStr">
        <is>
          <t>064090</t>
        </is>
      </c>
      <c r="C430" t="inlineStr">
        <is>
          <t>매출액</t>
        </is>
      </c>
      <c r="D430" t="inlineStr">
        <is>
          <t>전년 동기 YTD</t>
        </is>
      </c>
      <c r="E430" s="3" t="n">
        <v>3487501944</v>
      </c>
      <c r="F430" t="inlineStr"/>
      <c r="I430" t="inlineStr">
        <is>
          <t>20250814001655</t>
        </is>
      </c>
      <c r="J430" s="4" t="inlineStr">
        <is>
          <t>열기</t>
        </is>
      </c>
    </row>
    <row r="431">
      <c r="A431" t="inlineStr">
        <is>
          <t>인크레더블버즈</t>
        </is>
      </c>
      <c r="B431" t="inlineStr">
        <is>
          <t>064090</t>
        </is>
      </c>
      <c r="C431" t="inlineStr">
        <is>
          <t>매출총이익</t>
        </is>
      </c>
      <c r="D431" t="inlineStr">
        <is>
          <t>당기 YTD</t>
        </is>
      </c>
      <c r="E431" s="3" t="n">
        <v>1106347278</v>
      </c>
      <c r="F431" t="inlineStr">
        <is>
          <t>id</t>
        </is>
      </c>
      <c r="G431" t="inlineStr">
        <is>
          <t>ifrs-full_GrossProfit</t>
        </is>
      </c>
      <c r="H431" t="inlineStr">
        <is>
          <t>매출총이익</t>
        </is>
      </c>
      <c r="I431" t="inlineStr">
        <is>
          <t>20260814004242</t>
        </is>
      </c>
      <c r="J431" s="4" t="inlineStr">
        <is>
          <t>열기</t>
        </is>
      </c>
    </row>
    <row r="432">
      <c r="A432" t="inlineStr">
        <is>
          <t>인크레더블버즈</t>
        </is>
      </c>
      <c r="B432" t="inlineStr">
        <is>
          <t>064090</t>
        </is>
      </c>
      <c r="C432" t="inlineStr">
        <is>
          <t>매출총이익</t>
        </is>
      </c>
      <c r="D432" t="inlineStr">
        <is>
          <t>전년 연간</t>
        </is>
      </c>
      <c r="E432" s="3" t="n">
        <v>3586087178</v>
      </c>
      <c r="F432" t="inlineStr"/>
      <c r="I432" t="inlineStr">
        <is>
          <t>20260407002435</t>
        </is>
      </c>
      <c r="J432" s="4" t="inlineStr">
        <is>
          <t>열기</t>
        </is>
      </c>
    </row>
    <row r="433">
      <c r="A433" t="inlineStr">
        <is>
          <t>인크레더블버즈</t>
        </is>
      </c>
      <c r="B433" t="inlineStr">
        <is>
          <t>064090</t>
        </is>
      </c>
      <c r="C433" t="inlineStr">
        <is>
          <t>매출총이익</t>
        </is>
      </c>
      <c r="D433" t="inlineStr">
        <is>
          <t>전년 동기 YTD</t>
        </is>
      </c>
      <c r="E433" s="3" t="n">
        <v>1652379912</v>
      </c>
      <c r="F433" t="inlineStr"/>
      <c r="I433" t="inlineStr">
        <is>
          <t>20250814001655</t>
        </is>
      </c>
      <c r="J433" s="4" t="inlineStr">
        <is>
          <t>열기</t>
        </is>
      </c>
    </row>
    <row r="434">
      <c r="A434" t="inlineStr">
        <is>
          <t>인크레더블버즈</t>
        </is>
      </c>
      <c r="B434" t="inlineStr">
        <is>
          <t>064090</t>
        </is>
      </c>
      <c r="C434" t="inlineStr">
        <is>
          <t>영업이익</t>
        </is>
      </c>
      <c r="D434" t="inlineStr">
        <is>
          <t>당기 YTD</t>
        </is>
      </c>
      <c r="E434" s="3" t="n">
        <v>-4807331916</v>
      </c>
      <c r="F434" t="inlineStr">
        <is>
          <t>id</t>
        </is>
      </c>
      <c r="G434" t="inlineStr">
        <is>
          <t>dart_OperatingIncomeLoss</t>
        </is>
      </c>
      <c r="H434" t="inlineStr">
        <is>
          <t>영업손실</t>
        </is>
      </c>
      <c r="I434" t="inlineStr">
        <is>
          <t>20260814004242</t>
        </is>
      </c>
      <c r="J434" s="4" t="inlineStr">
        <is>
          <t>열기</t>
        </is>
      </c>
    </row>
    <row r="435">
      <c r="A435" t="inlineStr">
        <is>
          <t>인크레더블버즈</t>
        </is>
      </c>
      <c r="B435" t="inlineStr">
        <is>
          <t>064090</t>
        </is>
      </c>
      <c r="C435" t="inlineStr">
        <is>
          <t>영업이익</t>
        </is>
      </c>
      <c r="D435" t="inlineStr">
        <is>
          <t>전년 연간</t>
        </is>
      </c>
      <c r="E435" s="3" t="n">
        <v>-6078614066</v>
      </c>
      <c r="F435" t="inlineStr"/>
      <c r="I435" t="inlineStr">
        <is>
          <t>20260407002435</t>
        </is>
      </c>
      <c r="J435" s="4" t="inlineStr">
        <is>
          <t>열기</t>
        </is>
      </c>
    </row>
    <row r="436">
      <c r="A436" t="inlineStr">
        <is>
          <t>인크레더블버즈</t>
        </is>
      </c>
      <c r="B436" t="inlineStr">
        <is>
          <t>064090</t>
        </is>
      </c>
      <c r="C436" t="inlineStr">
        <is>
          <t>영업이익</t>
        </is>
      </c>
      <c r="D436" t="inlineStr">
        <is>
          <t>전년 동기 YTD</t>
        </is>
      </c>
      <c r="E436" s="3" t="n">
        <v>-2749394883</v>
      </c>
      <c r="F436" t="inlineStr"/>
      <c r="I436" t="inlineStr">
        <is>
          <t>20250814001655</t>
        </is>
      </c>
      <c r="J436" s="4" t="inlineStr">
        <is>
          <t>열기</t>
        </is>
      </c>
    </row>
    <row r="437">
      <c r="A437" t="inlineStr">
        <is>
          <t>인크레더블버즈</t>
        </is>
      </c>
      <c r="B437" t="inlineStr">
        <is>
          <t>064090</t>
        </is>
      </c>
      <c r="C437" t="inlineStr">
        <is>
          <t>영업현금흐름</t>
        </is>
      </c>
      <c r="D437" t="inlineStr">
        <is>
          <t>당기 YTD</t>
        </is>
      </c>
      <c r="E437" s="3" t="n">
        <v>-5949522778</v>
      </c>
      <c r="F437" t="inlineStr">
        <is>
          <t>id</t>
        </is>
      </c>
      <c r="G437" t="inlineStr">
        <is>
          <t>ifrs-full_CashFlowsFromUsedInOperatingActivities</t>
        </is>
      </c>
      <c r="H437" t="inlineStr">
        <is>
          <t>영업활동현금흐름</t>
        </is>
      </c>
      <c r="I437" t="inlineStr">
        <is>
          <t>20260814004242</t>
        </is>
      </c>
      <c r="J437" s="4" t="inlineStr">
        <is>
          <t>열기</t>
        </is>
      </c>
    </row>
    <row r="438">
      <c r="A438" t="inlineStr">
        <is>
          <t>인크레더블버즈</t>
        </is>
      </c>
      <c r="B438" t="inlineStr">
        <is>
          <t>064090</t>
        </is>
      </c>
      <c r="C438" t="inlineStr">
        <is>
          <t>영업현금흐름</t>
        </is>
      </c>
      <c r="D438" t="inlineStr">
        <is>
          <t>전년 연간</t>
        </is>
      </c>
      <c r="E438" s="3" t="n">
        <v>-11261287301</v>
      </c>
      <c r="F438" t="inlineStr"/>
      <c r="I438" t="inlineStr">
        <is>
          <t>20260407002435</t>
        </is>
      </c>
      <c r="J438" s="4" t="inlineStr">
        <is>
          <t>열기</t>
        </is>
      </c>
    </row>
    <row r="439">
      <c r="A439" t="inlineStr">
        <is>
          <t>인크레더블버즈</t>
        </is>
      </c>
      <c r="B439" t="inlineStr">
        <is>
          <t>064090</t>
        </is>
      </c>
      <c r="C439" t="inlineStr">
        <is>
          <t>영업현금흐름</t>
        </is>
      </c>
      <c r="D439" t="inlineStr">
        <is>
          <t>전년 동기 YTD</t>
        </is>
      </c>
      <c r="E439" s="3" t="n">
        <v>-9377985259</v>
      </c>
      <c r="F439" t="inlineStr"/>
      <c r="I439" t="inlineStr">
        <is>
          <t>20250814001655</t>
        </is>
      </c>
      <c r="J439" s="4" t="inlineStr">
        <is>
          <t>열기</t>
        </is>
      </c>
    </row>
    <row r="440">
      <c r="A440" t="inlineStr">
        <is>
          <t>인크레더블버즈</t>
        </is>
      </c>
      <c r="B440" t="inlineStr">
        <is>
          <t>064090</t>
        </is>
      </c>
      <c r="C440" t="inlineStr">
        <is>
          <t>지배주주자본</t>
        </is>
      </c>
      <c r="D440" t="inlineStr">
        <is>
          <t>당기말</t>
        </is>
      </c>
      <c r="E440" s="3" t="n">
        <v>59853498326</v>
      </c>
      <c r="F440" t="inlineStr">
        <is>
          <t>id</t>
        </is>
      </c>
      <c r="G440" t="inlineStr">
        <is>
          <t>ifrs-full_EquityAttributableToOwnersOfParent</t>
        </is>
      </c>
      <c r="H440" t="inlineStr">
        <is>
          <t>지배기업의 소유주에게 귀속되는 자본</t>
        </is>
      </c>
      <c r="I440" t="inlineStr">
        <is>
          <t>20260814004242</t>
        </is>
      </c>
      <c r="J440" s="4" t="inlineStr">
        <is>
          <t>열기</t>
        </is>
      </c>
    </row>
    <row r="441">
      <c r="A441" t="inlineStr">
        <is>
          <t>인크레더블버즈</t>
        </is>
      </c>
      <c r="B441" t="inlineStr">
        <is>
          <t>064090</t>
        </is>
      </c>
      <c r="C441" t="inlineStr">
        <is>
          <t>지배주주자본</t>
        </is>
      </c>
      <c r="D441" t="inlineStr">
        <is>
          <t>전년 동기말</t>
        </is>
      </c>
      <c r="E441" s="3" t="n">
        <v>77196847591</v>
      </c>
      <c r="F441" t="inlineStr"/>
      <c r="I441" t="inlineStr">
        <is>
          <t>20250814001655</t>
        </is>
      </c>
      <c r="J441" s="4" t="inlineStr">
        <is>
          <t>열기</t>
        </is>
      </c>
    </row>
    <row r="442">
      <c r="A442" t="inlineStr">
        <is>
          <t>인크레더블버즈</t>
        </is>
      </c>
      <c r="B442" t="inlineStr">
        <is>
          <t>064090</t>
        </is>
      </c>
      <c r="C442" t="inlineStr">
        <is>
          <t>자산총계</t>
        </is>
      </c>
      <c r="D442" t="inlineStr">
        <is>
          <t>당기말</t>
        </is>
      </c>
      <c r="E442" s="3" t="n">
        <v>60849218596</v>
      </c>
      <c r="F442" t="inlineStr">
        <is>
          <t>id</t>
        </is>
      </c>
      <c r="G442" t="inlineStr">
        <is>
          <t>ifrs-full_Assets</t>
        </is>
      </c>
      <c r="H442" t="inlineStr">
        <is>
          <t>자산총계</t>
        </is>
      </c>
      <c r="I442" t="inlineStr">
        <is>
          <t>20260814004242</t>
        </is>
      </c>
      <c r="J442" s="4" t="inlineStr">
        <is>
          <t>열기</t>
        </is>
      </c>
    </row>
    <row r="443">
      <c r="A443" t="inlineStr">
        <is>
          <t>인크레더블버즈</t>
        </is>
      </c>
      <c r="B443" t="inlineStr">
        <is>
          <t>064090</t>
        </is>
      </c>
      <c r="C443" t="inlineStr">
        <is>
          <t>자산총계</t>
        </is>
      </c>
      <c r="D443" t="inlineStr">
        <is>
          <t>전년 동기말</t>
        </is>
      </c>
      <c r="E443" s="3" t="n">
        <v>81169554451</v>
      </c>
      <c r="F443" t="inlineStr"/>
      <c r="I443" t="inlineStr">
        <is>
          <t>20250814001655</t>
        </is>
      </c>
      <c r="J443" s="4" t="inlineStr">
        <is>
          <t>열기</t>
        </is>
      </c>
    </row>
    <row r="444">
      <c r="A444" t="inlineStr">
        <is>
          <t>인크레더블버즈</t>
        </is>
      </c>
      <c r="B444" t="inlineStr">
        <is>
          <t>064090</t>
        </is>
      </c>
      <c r="C444" t="inlineStr">
        <is>
          <t>이자부부채</t>
        </is>
      </c>
      <c r="D444" t="inlineStr">
        <is>
          <t>당기말</t>
        </is>
      </c>
      <c r="E444" s="3" t="n">
        <v>356132852</v>
      </c>
      <c r="F444" t="inlineStr">
        <is>
          <t>id</t>
        </is>
      </c>
      <c r="G444" t="inlineStr">
        <is>
          <t>ifrs-full_CurrentLeaseLiabilities + ifrs-full_NoncurrentLeaseLiabilities</t>
        </is>
      </c>
      <c r="H444" t="inlineStr">
        <is>
          <t>유동리스부채 + 비유동리스부채</t>
        </is>
      </c>
      <c r="I444" t="inlineStr">
        <is>
          <t>20260814004242</t>
        </is>
      </c>
      <c r="J444" s="4" t="inlineStr">
        <is>
          <t>열기</t>
        </is>
      </c>
    </row>
    <row r="445">
      <c r="A445" t="inlineStr">
        <is>
          <t>인크레더블버즈</t>
        </is>
      </c>
      <c r="B445" t="inlineStr">
        <is>
          <t>064090</t>
        </is>
      </c>
      <c r="C445" t="inlineStr">
        <is>
          <t>이자부부채</t>
        </is>
      </c>
      <c r="D445" t="inlineStr">
        <is>
          <t>전년 동기말</t>
        </is>
      </c>
      <c r="E445" s="3" t="n">
        <v>2815857511</v>
      </c>
      <c r="F445" t="inlineStr"/>
      <c r="I445" t="inlineStr">
        <is>
          <t>20250814001655</t>
        </is>
      </c>
      <c r="J445" s="4" t="inlineStr">
        <is>
          <t>열기</t>
        </is>
      </c>
    </row>
    <row r="446">
      <c r="A446" t="inlineStr">
        <is>
          <t>인크레더블버즈</t>
        </is>
      </c>
      <c r="B446" t="inlineStr">
        <is>
          <t>064090</t>
        </is>
      </c>
      <c r="C446" t="inlineStr">
        <is>
          <t>현금성자산</t>
        </is>
      </c>
      <c r="D446" t="inlineStr">
        <is>
          <t>당기말</t>
        </is>
      </c>
      <c r="E446" s="3" t="n">
        <v>18682611952</v>
      </c>
      <c r="F446" t="inlineStr">
        <is>
          <t>id</t>
        </is>
      </c>
      <c r="G446" t="inlineStr">
        <is>
          <t>ifrs-full_CashAndCashEquivalents</t>
        </is>
      </c>
      <c r="H446" t="inlineStr">
        <is>
          <t>현금및현금성자산</t>
        </is>
      </c>
      <c r="I446" t="inlineStr">
        <is>
          <t>20260814004242</t>
        </is>
      </c>
      <c r="J446" s="4" t="inlineStr">
        <is>
          <t>열기</t>
        </is>
      </c>
    </row>
    <row r="447">
      <c r="A447" t="inlineStr">
        <is>
          <t>인크레더블버즈</t>
        </is>
      </c>
      <c r="B447" t="inlineStr">
        <is>
          <t>064090</t>
        </is>
      </c>
      <c r="C447" t="inlineStr">
        <is>
          <t>현금성자산</t>
        </is>
      </c>
      <c r="D447" t="inlineStr">
        <is>
          <t>전년 동기말</t>
        </is>
      </c>
      <c r="E447" s="3" t="n">
        <v>8873205356</v>
      </c>
      <c r="F447" t="inlineStr"/>
      <c r="I447" t="inlineStr">
        <is>
          <t>20250814001655</t>
        </is>
      </c>
      <c r="J447" s="4" t="inlineStr">
        <is>
          <t>열기</t>
        </is>
      </c>
    </row>
    <row r="448">
      <c r="A448" t="inlineStr">
        <is>
          <t>인크레더블버즈</t>
        </is>
      </c>
      <c r="B448" t="inlineStr">
        <is>
          <t>064090</t>
        </is>
      </c>
      <c r="C448" t="inlineStr">
        <is>
          <t>단기금융상품</t>
        </is>
      </c>
      <c r="D448" t="inlineStr">
        <is>
          <t>당기말</t>
        </is>
      </c>
      <c r="E448" s="3" t="n">
        <v>0</v>
      </c>
      <c r="F448" t="inlineStr">
        <is>
          <t>zero_default</t>
        </is>
      </c>
      <c r="I448" t="inlineStr">
        <is>
          <t>20260814004242</t>
        </is>
      </c>
      <c r="J448" s="4" t="inlineStr">
        <is>
          <t>열기</t>
        </is>
      </c>
    </row>
    <row r="449">
      <c r="A449" t="inlineStr">
        <is>
          <t>인크레더블버즈</t>
        </is>
      </c>
      <c r="B449" t="inlineStr">
        <is>
          <t>064090</t>
        </is>
      </c>
      <c r="C449" t="inlineStr">
        <is>
          <t>단기금융상품</t>
        </is>
      </c>
      <c r="D449" t="inlineStr">
        <is>
          <t>전년 동기말</t>
        </is>
      </c>
      <c r="E449" s="3" t="n">
        <v>0</v>
      </c>
      <c r="F449" t="inlineStr"/>
      <c r="I449" t="inlineStr">
        <is>
          <t>20250814001655</t>
        </is>
      </c>
      <c r="J449" s="4" t="inlineStr">
        <is>
          <t>열기</t>
        </is>
      </c>
    </row>
    <row r="450">
      <c r="A450" t="inlineStr">
        <is>
          <t>비피도</t>
        </is>
      </c>
      <c r="B450" t="inlineStr">
        <is>
          <t>238200</t>
        </is>
      </c>
      <c r="C450" t="inlineStr">
        <is>
          <t>지배주주순이익</t>
        </is>
      </c>
      <c r="D450" t="inlineStr">
        <is>
          <t>당기 YTD</t>
        </is>
      </c>
      <c r="E450" s="3" t="n">
        <v>2985511589</v>
      </c>
      <c r="F450" t="inlineStr">
        <is>
          <t>id</t>
        </is>
      </c>
      <c r="G450" t="inlineStr">
        <is>
          <t>ifrs-full_ProfitLossAttributableToOwnersOfParent</t>
        </is>
      </c>
      <c r="H450" t="inlineStr">
        <is>
          <t>지배기업소유주지분순이익</t>
        </is>
      </c>
      <c r="I450" t="inlineStr">
        <is>
          <t>20260814001247</t>
        </is>
      </c>
      <c r="J450" s="4" t="inlineStr">
        <is>
          <t>열기</t>
        </is>
      </c>
    </row>
    <row r="451">
      <c r="A451" t="inlineStr">
        <is>
          <t>비피도</t>
        </is>
      </c>
      <c r="B451" t="inlineStr">
        <is>
          <t>238200</t>
        </is>
      </c>
      <c r="C451" t="inlineStr">
        <is>
          <t>지배주주순이익</t>
        </is>
      </c>
      <c r="D451" t="inlineStr">
        <is>
          <t>전년 연간</t>
        </is>
      </c>
      <c r="E451" s="3" t="n">
        <v>-192738194</v>
      </c>
      <c r="F451" t="inlineStr"/>
      <c r="I451" t="inlineStr">
        <is>
          <t>20260311003760</t>
        </is>
      </c>
      <c r="J451" s="4" t="inlineStr">
        <is>
          <t>열기</t>
        </is>
      </c>
    </row>
    <row r="452">
      <c r="A452" t="inlineStr">
        <is>
          <t>비피도</t>
        </is>
      </c>
      <c r="B452" t="inlineStr">
        <is>
          <t>238200</t>
        </is>
      </c>
      <c r="C452" t="inlineStr">
        <is>
          <t>지배주주순이익</t>
        </is>
      </c>
      <c r="D452" t="inlineStr">
        <is>
          <t>전년 동기 YTD</t>
        </is>
      </c>
      <c r="E452" s="3" t="n">
        <v>944061172</v>
      </c>
      <c r="F452" t="inlineStr"/>
      <c r="I452" t="inlineStr">
        <is>
          <t>20250814000974</t>
        </is>
      </c>
      <c r="J452" s="4" t="inlineStr">
        <is>
          <t>열기</t>
        </is>
      </c>
    </row>
    <row r="453">
      <c r="A453" t="inlineStr">
        <is>
          <t>비피도</t>
        </is>
      </c>
      <c r="B453" t="inlineStr">
        <is>
          <t>238200</t>
        </is>
      </c>
      <c r="C453" t="inlineStr">
        <is>
          <t>당기순이익</t>
        </is>
      </c>
      <c r="D453" t="inlineStr">
        <is>
          <t>당기 YTD</t>
        </is>
      </c>
      <c r="E453" s="3" t="n">
        <v>2985511589</v>
      </c>
      <c r="F453" t="inlineStr">
        <is>
          <t>id</t>
        </is>
      </c>
      <c r="G453" t="inlineStr">
        <is>
          <t>ifrs-full_ProfitLoss</t>
        </is>
      </c>
      <c r="H453" t="inlineStr">
        <is>
          <t>당기순이익(손실)</t>
        </is>
      </c>
      <c r="I453" t="inlineStr">
        <is>
          <t>20260814001247</t>
        </is>
      </c>
      <c r="J453" s="4" t="inlineStr">
        <is>
          <t>열기</t>
        </is>
      </c>
    </row>
    <row r="454">
      <c r="A454" t="inlineStr">
        <is>
          <t>비피도</t>
        </is>
      </c>
      <c r="B454" t="inlineStr">
        <is>
          <t>238200</t>
        </is>
      </c>
      <c r="C454" t="inlineStr">
        <is>
          <t>당기순이익</t>
        </is>
      </c>
      <c r="D454" t="inlineStr">
        <is>
          <t>전년 연간</t>
        </is>
      </c>
      <c r="E454" s="3" t="n">
        <v>-192738194</v>
      </c>
      <c r="F454" t="inlineStr"/>
      <c r="I454" t="inlineStr">
        <is>
          <t>20260311003760</t>
        </is>
      </c>
      <c r="J454" s="4" t="inlineStr">
        <is>
          <t>열기</t>
        </is>
      </c>
    </row>
    <row r="455">
      <c r="A455" t="inlineStr">
        <is>
          <t>비피도</t>
        </is>
      </c>
      <c r="B455" t="inlineStr">
        <is>
          <t>238200</t>
        </is>
      </c>
      <c r="C455" t="inlineStr">
        <is>
          <t>당기순이익</t>
        </is>
      </c>
      <c r="D455" t="inlineStr">
        <is>
          <t>전년 동기 YTD</t>
        </is>
      </c>
      <c r="E455" s="3" t="n">
        <v>944061172</v>
      </c>
      <c r="F455" t="inlineStr"/>
      <c r="I455" t="inlineStr">
        <is>
          <t>20250814000974</t>
        </is>
      </c>
      <c r="J455" s="4" t="inlineStr">
        <is>
          <t>열기</t>
        </is>
      </c>
    </row>
    <row r="456">
      <c r="A456" t="inlineStr">
        <is>
          <t>비피도</t>
        </is>
      </c>
      <c r="B456" t="inlineStr">
        <is>
          <t>238200</t>
        </is>
      </c>
      <c r="C456" t="inlineStr">
        <is>
          <t>매출액</t>
        </is>
      </c>
      <c r="D456" t="inlineStr">
        <is>
          <t>당기 YTD</t>
        </is>
      </c>
      <c r="E456" s="3" t="n">
        <v>6097108233</v>
      </c>
      <c r="F456" t="inlineStr">
        <is>
          <t>id</t>
        </is>
      </c>
      <c r="G456" t="inlineStr">
        <is>
          <t>ifrs-full_Revenue</t>
        </is>
      </c>
      <c r="H456" t="inlineStr">
        <is>
          <t>매출액</t>
        </is>
      </c>
      <c r="I456" t="inlineStr">
        <is>
          <t>20260814001247</t>
        </is>
      </c>
      <c r="J456" s="4" t="inlineStr">
        <is>
          <t>열기</t>
        </is>
      </c>
    </row>
    <row r="457">
      <c r="A457" t="inlineStr">
        <is>
          <t>비피도</t>
        </is>
      </c>
      <c r="B457" t="inlineStr">
        <is>
          <t>238200</t>
        </is>
      </c>
      <c r="C457" t="inlineStr">
        <is>
          <t>매출액</t>
        </is>
      </c>
      <c r="D457" t="inlineStr">
        <is>
          <t>전년 연간</t>
        </is>
      </c>
      <c r="E457" s="3" t="n">
        <v>19678962044</v>
      </c>
      <c r="F457" t="inlineStr"/>
      <c r="I457" t="inlineStr">
        <is>
          <t>20260311003760</t>
        </is>
      </c>
      <c r="J457" s="4" t="inlineStr">
        <is>
          <t>열기</t>
        </is>
      </c>
    </row>
    <row r="458">
      <c r="A458" t="inlineStr">
        <is>
          <t>비피도</t>
        </is>
      </c>
      <c r="B458" t="inlineStr">
        <is>
          <t>238200</t>
        </is>
      </c>
      <c r="C458" t="inlineStr">
        <is>
          <t>매출액</t>
        </is>
      </c>
      <c r="D458" t="inlineStr">
        <is>
          <t>전년 동기 YTD</t>
        </is>
      </c>
      <c r="E458" s="3" t="n">
        <v>11145177099</v>
      </c>
      <c r="F458" t="inlineStr"/>
      <c r="I458" t="inlineStr">
        <is>
          <t>20250814000974</t>
        </is>
      </c>
      <c r="J458" s="4" t="inlineStr">
        <is>
          <t>열기</t>
        </is>
      </c>
    </row>
    <row r="459">
      <c r="A459" t="inlineStr">
        <is>
          <t>비피도</t>
        </is>
      </c>
      <c r="B459" t="inlineStr">
        <is>
          <t>238200</t>
        </is>
      </c>
      <c r="C459" t="inlineStr">
        <is>
          <t>매출총이익</t>
        </is>
      </c>
      <c r="D459" t="inlineStr">
        <is>
          <t>당기 YTD</t>
        </is>
      </c>
      <c r="E459" s="3" t="n">
        <v>1749219629</v>
      </c>
      <c r="F459" t="inlineStr">
        <is>
          <t>id</t>
        </is>
      </c>
      <c r="G459" t="inlineStr">
        <is>
          <t>ifrs-full_GrossProfit</t>
        </is>
      </c>
      <c r="H459" t="inlineStr">
        <is>
          <t>매출총이익</t>
        </is>
      </c>
      <c r="I459" t="inlineStr">
        <is>
          <t>20260814001247</t>
        </is>
      </c>
      <c r="J459" s="4" t="inlineStr">
        <is>
          <t>열기</t>
        </is>
      </c>
    </row>
    <row r="460">
      <c r="A460" t="inlineStr">
        <is>
          <t>비피도</t>
        </is>
      </c>
      <c r="B460" t="inlineStr">
        <is>
          <t>238200</t>
        </is>
      </c>
      <c r="C460" t="inlineStr">
        <is>
          <t>매출총이익</t>
        </is>
      </c>
      <c r="D460" t="inlineStr">
        <is>
          <t>전년 연간</t>
        </is>
      </c>
      <c r="E460" s="3" t="n">
        <v>7490087612</v>
      </c>
      <c r="F460" t="inlineStr"/>
      <c r="I460" t="inlineStr">
        <is>
          <t>20260311003760</t>
        </is>
      </c>
      <c r="J460" s="4" t="inlineStr">
        <is>
          <t>열기</t>
        </is>
      </c>
    </row>
    <row r="461">
      <c r="A461" t="inlineStr">
        <is>
          <t>비피도</t>
        </is>
      </c>
      <c r="B461" t="inlineStr">
        <is>
          <t>238200</t>
        </is>
      </c>
      <c r="C461" t="inlineStr">
        <is>
          <t>매출총이익</t>
        </is>
      </c>
      <c r="D461" t="inlineStr">
        <is>
          <t>전년 동기 YTD</t>
        </is>
      </c>
      <c r="E461" s="3" t="n">
        <v>4652881430</v>
      </c>
      <c r="F461" t="inlineStr"/>
      <c r="I461" t="inlineStr">
        <is>
          <t>20250814000974</t>
        </is>
      </c>
      <c r="J461" s="4" t="inlineStr">
        <is>
          <t>열기</t>
        </is>
      </c>
    </row>
    <row r="462">
      <c r="A462" t="inlineStr">
        <is>
          <t>비피도</t>
        </is>
      </c>
      <c r="B462" t="inlineStr">
        <is>
          <t>238200</t>
        </is>
      </c>
      <c r="C462" t="inlineStr">
        <is>
          <t>영업이익</t>
        </is>
      </c>
      <c r="D462" t="inlineStr">
        <is>
          <t>당기 YTD</t>
        </is>
      </c>
      <c r="E462" s="3" t="n">
        <v>-1006768137</v>
      </c>
      <c r="F462" t="inlineStr">
        <is>
          <t>id</t>
        </is>
      </c>
      <c r="G462" t="inlineStr">
        <is>
          <t>dart_OperatingIncomeLoss</t>
        </is>
      </c>
      <c r="H462" t="inlineStr">
        <is>
          <t>영업이익(손실)</t>
        </is>
      </c>
      <c r="I462" t="inlineStr">
        <is>
          <t>20260814001247</t>
        </is>
      </c>
      <c r="J462" s="4" t="inlineStr">
        <is>
          <t>열기</t>
        </is>
      </c>
    </row>
    <row r="463">
      <c r="A463" t="inlineStr">
        <is>
          <t>비피도</t>
        </is>
      </c>
      <c r="B463" t="inlineStr">
        <is>
          <t>238200</t>
        </is>
      </c>
      <c r="C463" t="inlineStr">
        <is>
          <t>영업이익</t>
        </is>
      </c>
      <c r="D463" t="inlineStr">
        <is>
          <t>전년 연간</t>
        </is>
      </c>
      <c r="E463" s="3" t="n">
        <v>1403074063</v>
      </c>
      <c r="F463" t="inlineStr"/>
      <c r="I463" t="inlineStr">
        <is>
          <t>20260311003760</t>
        </is>
      </c>
      <c r="J463" s="4" t="inlineStr">
        <is>
          <t>열기</t>
        </is>
      </c>
    </row>
    <row r="464">
      <c r="A464" t="inlineStr">
        <is>
          <t>비피도</t>
        </is>
      </c>
      <c r="B464" t="inlineStr">
        <is>
          <t>238200</t>
        </is>
      </c>
      <c r="C464" t="inlineStr">
        <is>
          <t>영업이익</t>
        </is>
      </c>
      <c r="D464" t="inlineStr">
        <is>
          <t>전년 동기 YTD</t>
        </is>
      </c>
      <c r="E464" s="3" t="n">
        <v>1418462945</v>
      </c>
      <c r="F464" t="inlineStr"/>
      <c r="I464" t="inlineStr">
        <is>
          <t>20250814000974</t>
        </is>
      </c>
      <c r="J464" s="4" t="inlineStr">
        <is>
          <t>열기</t>
        </is>
      </c>
    </row>
    <row r="465">
      <c r="A465" t="inlineStr">
        <is>
          <t>비피도</t>
        </is>
      </c>
      <c r="B465" t="inlineStr">
        <is>
          <t>238200</t>
        </is>
      </c>
      <c r="C465" t="inlineStr">
        <is>
          <t>영업현금흐름</t>
        </is>
      </c>
      <c r="D465" t="inlineStr">
        <is>
          <t>당기 YTD</t>
        </is>
      </c>
      <c r="E465" s="3" t="n">
        <v>434757269</v>
      </c>
      <c r="F465" t="inlineStr">
        <is>
          <t>id</t>
        </is>
      </c>
      <c r="G465" t="inlineStr">
        <is>
          <t>ifrs-full_CashFlowsFromUsedInOperatingActivities</t>
        </is>
      </c>
      <c r="H465" t="inlineStr">
        <is>
          <t>영업활동현금흐름</t>
        </is>
      </c>
      <c r="I465" t="inlineStr">
        <is>
          <t>20260814001247</t>
        </is>
      </c>
      <c r="J465" s="4" t="inlineStr">
        <is>
          <t>열기</t>
        </is>
      </c>
    </row>
    <row r="466">
      <c r="A466" t="inlineStr">
        <is>
          <t>비피도</t>
        </is>
      </c>
      <c r="B466" t="inlineStr">
        <is>
          <t>238200</t>
        </is>
      </c>
      <c r="C466" t="inlineStr">
        <is>
          <t>영업현금흐름</t>
        </is>
      </c>
      <c r="D466" t="inlineStr">
        <is>
          <t>전년 연간</t>
        </is>
      </c>
      <c r="E466" s="3" t="n">
        <v>3950289717</v>
      </c>
      <c r="F466" t="inlineStr"/>
      <c r="I466" t="inlineStr">
        <is>
          <t>20260311003760</t>
        </is>
      </c>
      <c r="J466" s="4" t="inlineStr">
        <is>
          <t>열기</t>
        </is>
      </c>
    </row>
    <row r="467">
      <c r="A467" t="inlineStr">
        <is>
          <t>비피도</t>
        </is>
      </c>
      <c r="B467" t="inlineStr">
        <is>
          <t>238200</t>
        </is>
      </c>
      <c r="C467" t="inlineStr">
        <is>
          <t>영업현금흐름</t>
        </is>
      </c>
      <c r="D467" t="inlineStr">
        <is>
          <t>전년 동기 YTD</t>
        </is>
      </c>
      <c r="E467" s="3" t="n">
        <v>3228062267</v>
      </c>
      <c r="F467" t="inlineStr"/>
      <c r="I467" t="inlineStr">
        <is>
          <t>20250814000974</t>
        </is>
      </c>
      <c r="J467" s="4" t="inlineStr">
        <is>
          <t>열기</t>
        </is>
      </c>
    </row>
    <row r="468">
      <c r="A468" t="inlineStr">
        <is>
          <t>비피도</t>
        </is>
      </c>
      <c r="B468" t="inlineStr">
        <is>
          <t>238200</t>
        </is>
      </c>
      <c r="C468" t="inlineStr">
        <is>
          <t>지배주주자본</t>
        </is>
      </c>
      <c r="D468" t="inlineStr">
        <is>
          <t>당기말</t>
        </is>
      </c>
      <c r="E468" s="3" t="n">
        <v>48936211986</v>
      </c>
      <c r="F468" t="inlineStr">
        <is>
          <t>id</t>
        </is>
      </c>
      <c r="G468" t="inlineStr">
        <is>
          <t>ifrs-full_EquityAttributableToOwnersOfParent</t>
        </is>
      </c>
      <c r="H468" t="inlineStr">
        <is>
          <t>지배기업의소유주비분</t>
        </is>
      </c>
      <c r="I468" t="inlineStr">
        <is>
          <t>20260814001247</t>
        </is>
      </c>
      <c r="J468" s="4" t="inlineStr">
        <is>
          <t>열기</t>
        </is>
      </c>
    </row>
    <row r="469">
      <c r="A469" t="inlineStr">
        <is>
          <t>비피도</t>
        </is>
      </c>
      <c r="B469" t="inlineStr">
        <is>
          <t>238200</t>
        </is>
      </c>
      <c r="C469" t="inlineStr">
        <is>
          <t>지배주주자본</t>
        </is>
      </c>
      <c r="D469" t="inlineStr">
        <is>
          <t>전년 동기말</t>
        </is>
      </c>
      <c r="E469" s="3" t="n">
        <v>47661578613</v>
      </c>
      <c r="F469" t="inlineStr"/>
      <c r="I469" t="inlineStr">
        <is>
          <t>20250814000974</t>
        </is>
      </c>
      <c r="J469" s="4" t="inlineStr">
        <is>
          <t>열기</t>
        </is>
      </c>
    </row>
    <row r="470">
      <c r="A470" t="inlineStr">
        <is>
          <t>비피도</t>
        </is>
      </c>
      <c r="B470" t="inlineStr">
        <is>
          <t>238200</t>
        </is>
      </c>
      <c r="C470" t="inlineStr">
        <is>
          <t>자산총계</t>
        </is>
      </c>
      <c r="D470" t="inlineStr">
        <is>
          <t>당기말</t>
        </is>
      </c>
      <c r="E470" s="3" t="n">
        <v>64211897855</v>
      </c>
      <c r="F470" t="inlineStr">
        <is>
          <t>id</t>
        </is>
      </c>
      <c r="G470" t="inlineStr">
        <is>
          <t>ifrs-full_Assets</t>
        </is>
      </c>
      <c r="H470" t="inlineStr">
        <is>
          <t>자산총계</t>
        </is>
      </c>
      <c r="I470" t="inlineStr">
        <is>
          <t>20260814001247</t>
        </is>
      </c>
      <c r="J470" s="4" t="inlineStr">
        <is>
          <t>열기</t>
        </is>
      </c>
    </row>
    <row r="471">
      <c r="A471" t="inlineStr">
        <is>
          <t>비피도</t>
        </is>
      </c>
      <c r="B471" t="inlineStr">
        <is>
          <t>238200</t>
        </is>
      </c>
      <c r="C471" t="inlineStr">
        <is>
          <t>자산총계</t>
        </is>
      </c>
      <c r="D471" t="inlineStr">
        <is>
          <t>전년 동기말</t>
        </is>
      </c>
      <c r="E471" s="3" t="n">
        <v>63832771470</v>
      </c>
      <c r="F471" t="inlineStr"/>
      <c r="I471" t="inlineStr">
        <is>
          <t>20250814000974</t>
        </is>
      </c>
      <c r="J471" s="4" t="inlineStr">
        <is>
          <t>열기</t>
        </is>
      </c>
    </row>
    <row r="472">
      <c r="A472" t="inlineStr">
        <is>
          <t>비피도</t>
        </is>
      </c>
      <c r="B472" t="inlineStr">
        <is>
          <t>238200</t>
        </is>
      </c>
      <c r="C472" t="inlineStr">
        <is>
          <t>이자부부채</t>
        </is>
      </c>
      <c r="D472" t="inlineStr">
        <is>
          <t>당기말</t>
        </is>
      </c>
      <c r="E472" s="3" t="n">
        <v>217685043</v>
      </c>
      <c r="F472" t="inlineStr">
        <is>
          <t>id</t>
        </is>
      </c>
      <c r="G472" t="inlineStr">
        <is>
          <t>ifrs-full_CurrentLeaseLiabilities + ifrs-full_NoncurrentLeaseLiabilities</t>
        </is>
      </c>
      <c r="H472" t="inlineStr">
        <is>
          <t>유동 리스부채 + 비유동 리스부채</t>
        </is>
      </c>
      <c r="I472" t="inlineStr">
        <is>
          <t>20260814001247</t>
        </is>
      </c>
      <c r="J472" s="4" t="inlineStr">
        <is>
          <t>열기</t>
        </is>
      </c>
    </row>
    <row r="473">
      <c r="A473" t="inlineStr">
        <is>
          <t>비피도</t>
        </is>
      </c>
      <c r="B473" t="inlineStr">
        <is>
          <t>238200</t>
        </is>
      </c>
      <c r="C473" t="inlineStr">
        <is>
          <t>이자부부채</t>
        </is>
      </c>
      <c r="D473" t="inlineStr">
        <is>
          <t>전년 동기말</t>
        </is>
      </c>
      <c r="E473" s="3" t="n">
        <v>261642359</v>
      </c>
      <c r="F473" t="inlineStr"/>
      <c r="I473" t="inlineStr">
        <is>
          <t>20250814000974</t>
        </is>
      </c>
      <c r="J473" s="4" t="inlineStr">
        <is>
          <t>열기</t>
        </is>
      </c>
    </row>
    <row r="474">
      <c r="A474" t="inlineStr">
        <is>
          <t>비피도</t>
        </is>
      </c>
      <c r="B474" t="inlineStr">
        <is>
          <t>238200</t>
        </is>
      </c>
      <c r="C474" t="inlineStr">
        <is>
          <t>현금성자산</t>
        </is>
      </c>
      <c r="D474" t="inlineStr">
        <is>
          <t>당기말</t>
        </is>
      </c>
      <c r="E474" s="3" t="n">
        <v>7609889752</v>
      </c>
      <c r="F474" t="inlineStr">
        <is>
          <t>id</t>
        </is>
      </c>
      <c r="G474" t="inlineStr">
        <is>
          <t>ifrs-full_CashAndCashEquivalents</t>
        </is>
      </c>
      <c r="H474" t="inlineStr">
        <is>
          <t>현금및현금성자산</t>
        </is>
      </c>
      <c r="I474" t="inlineStr">
        <is>
          <t>20260814001247</t>
        </is>
      </c>
      <c r="J474" s="4" t="inlineStr">
        <is>
          <t>열기</t>
        </is>
      </c>
    </row>
    <row r="475">
      <c r="A475" t="inlineStr">
        <is>
          <t>비피도</t>
        </is>
      </c>
      <c r="B475" t="inlineStr">
        <is>
          <t>238200</t>
        </is>
      </c>
      <c r="C475" t="inlineStr">
        <is>
          <t>현금성자산</t>
        </is>
      </c>
      <c r="D475" t="inlineStr">
        <is>
          <t>전년 동기말</t>
        </is>
      </c>
      <c r="E475" s="3" t="n">
        <v>5995569193</v>
      </c>
      <c r="F475" t="inlineStr"/>
      <c r="I475" t="inlineStr">
        <is>
          <t>20250814000974</t>
        </is>
      </c>
      <c r="J475" s="4" t="inlineStr">
        <is>
          <t>열기</t>
        </is>
      </c>
    </row>
    <row r="476">
      <c r="A476" t="inlineStr">
        <is>
          <t>비피도</t>
        </is>
      </c>
      <c r="B476" t="inlineStr">
        <is>
          <t>238200</t>
        </is>
      </c>
      <c r="C476" t="inlineStr">
        <is>
          <t>단기금융상품</t>
        </is>
      </c>
      <c r="D476" t="inlineStr">
        <is>
          <t>당기말</t>
        </is>
      </c>
      <c r="E476" s="3" t="n">
        <v>0</v>
      </c>
      <c r="F476" t="inlineStr">
        <is>
          <t>zero_default</t>
        </is>
      </c>
      <c r="I476" t="inlineStr">
        <is>
          <t>20260814001247</t>
        </is>
      </c>
      <c r="J476" s="4" t="inlineStr">
        <is>
          <t>열기</t>
        </is>
      </c>
    </row>
    <row r="477">
      <c r="A477" t="inlineStr">
        <is>
          <t>비피도</t>
        </is>
      </c>
      <c r="B477" t="inlineStr">
        <is>
          <t>238200</t>
        </is>
      </c>
      <c r="C477" t="inlineStr">
        <is>
          <t>단기금융상품</t>
        </is>
      </c>
      <c r="D477" t="inlineStr">
        <is>
          <t>전년 동기말</t>
        </is>
      </c>
      <c r="E477" s="3" t="n">
        <v>0</v>
      </c>
      <c r="F477" t="inlineStr"/>
      <c r="I477" t="inlineStr">
        <is>
          <t>20250814000974</t>
        </is>
      </c>
      <c r="J477" s="4" t="inlineStr">
        <is>
          <t>열기</t>
        </is>
      </c>
    </row>
    <row r="478">
      <c r="A478" t="inlineStr">
        <is>
          <t>에이프로젠바이오로직스</t>
        </is>
      </c>
      <c r="B478" t="inlineStr">
        <is>
          <t>003060</t>
        </is>
      </c>
      <c r="C478" t="inlineStr">
        <is>
          <t>지배주주순이익</t>
        </is>
      </c>
      <c r="D478" t="inlineStr">
        <is>
          <t>당기 YTD</t>
        </is>
      </c>
      <c r="E478" s="3" t="n">
        <v>-17872159378</v>
      </c>
      <c r="F478" t="inlineStr">
        <is>
          <t>id</t>
        </is>
      </c>
      <c r="G478" t="inlineStr">
        <is>
          <t>ifrs-full_ProfitLossAttributableToOwnersOfParent</t>
        </is>
      </c>
      <c r="H478" t="inlineStr">
        <is>
          <t>지배기업 소유주지분</t>
        </is>
      </c>
      <c r="I478" t="inlineStr">
        <is>
          <t>20260813001428</t>
        </is>
      </c>
      <c r="J478" s="4" t="inlineStr">
        <is>
          <t>열기</t>
        </is>
      </c>
    </row>
    <row r="479">
      <c r="A479" t="inlineStr">
        <is>
          <t>에이프로젠바이오로직스</t>
        </is>
      </c>
      <c r="B479" t="inlineStr">
        <is>
          <t>003060</t>
        </is>
      </c>
      <c r="C479" t="inlineStr">
        <is>
          <t>지배주주순이익</t>
        </is>
      </c>
      <c r="D479" t="inlineStr">
        <is>
          <t>전년 연간</t>
        </is>
      </c>
      <c r="E479" s="3" t="n">
        <v>-170330530390</v>
      </c>
      <c r="F479" t="inlineStr"/>
      <c r="I479" t="inlineStr">
        <is>
          <t>20260320000881</t>
        </is>
      </c>
      <c r="J479" s="4" t="inlineStr">
        <is>
          <t>열기</t>
        </is>
      </c>
    </row>
    <row r="480">
      <c r="A480" t="inlineStr">
        <is>
          <t>에이프로젠바이오로직스</t>
        </is>
      </c>
      <c r="B480" t="inlineStr">
        <is>
          <t>003060</t>
        </is>
      </c>
      <c r="C480" t="inlineStr">
        <is>
          <t>지배주주순이익</t>
        </is>
      </c>
      <c r="D480" t="inlineStr">
        <is>
          <t>전년 동기 YTD</t>
        </is>
      </c>
      <c r="E480" s="3" t="n">
        <v>-109906842990</v>
      </c>
      <c r="F480" t="inlineStr"/>
      <c r="I480" t="inlineStr">
        <is>
          <t>20250813001398</t>
        </is>
      </c>
      <c r="J480" s="4" t="inlineStr">
        <is>
          <t>열기</t>
        </is>
      </c>
    </row>
    <row r="481">
      <c r="A481" t="inlineStr">
        <is>
          <t>에이프로젠바이오로직스</t>
        </is>
      </c>
      <c r="B481" t="inlineStr">
        <is>
          <t>003060</t>
        </is>
      </c>
      <c r="C481" t="inlineStr">
        <is>
          <t>당기순이익</t>
        </is>
      </c>
      <c r="D481" t="inlineStr">
        <is>
          <t>당기 YTD</t>
        </is>
      </c>
      <c r="E481" s="3" t="n">
        <v>-14238516596</v>
      </c>
      <c r="F481" t="inlineStr">
        <is>
          <t>id</t>
        </is>
      </c>
      <c r="G481" t="inlineStr">
        <is>
          <t>ifrs-full_ProfitLoss</t>
        </is>
      </c>
      <c r="H481" t="inlineStr">
        <is>
          <t>당기순이익(손실)</t>
        </is>
      </c>
      <c r="I481" t="inlineStr">
        <is>
          <t>20260813001428</t>
        </is>
      </c>
      <c r="J481" s="4" t="inlineStr">
        <is>
          <t>열기</t>
        </is>
      </c>
    </row>
    <row r="482">
      <c r="A482" t="inlineStr">
        <is>
          <t>에이프로젠바이오로직스</t>
        </is>
      </c>
      <c r="B482" t="inlineStr">
        <is>
          <t>003060</t>
        </is>
      </c>
      <c r="C482" t="inlineStr">
        <is>
          <t>당기순이익</t>
        </is>
      </c>
      <c r="D482" t="inlineStr">
        <is>
          <t>전년 연간</t>
        </is>
      </c>
      <c r="E482" s="3" t="n">
        <v>-168296872201</v>
      </c>
      <c r="F482" t="inlineStr"/>
      <c r="I482" t="inlineStr">
        <is>
          <t>20260320000881</t>
        </is>
      </c>
      <c r="J482" s="4" t="inlineStr">
        <is>
          <t>열기</t>
        </is>
      </c>
    </row>
    <row r="483">
      <c r="A483" t="inlineStr">
        <is>
          <t>에이프로젠바이오로직스</t>
        </is>
      </c>
      <c r="B483" t="inlineStr">
        <is>
          <t>003060</t>
        </is>
      </c>
      <c r="C483" t="inlineStr">
        <is>
          <t>당기순이익</t>
        </is>
      </c>
      <c r="D483" t="inlineStr">
        <is>
          <t>전년 동기 YTD</t>
        </is>
      </c>
      <c r="E483" s="3" t="n">
        <v>-109943034717</v>
      </c>
      <c r="F483" t="inlineStr"/>
      <c r="I483" t="inlineStr">
        <is>
          <t>20250813001398</t>
        </is>
      </c>
      <c r="J483" s="4" t="inlineStr">
        <is>
          <t>열기</t>
        </is>
      </c>
    </row>
    <row r="484">
      <c r="A484" t="inlineStr">
        <is>
          <t>에이프로젠바이오로직스</t>
        </is>
      </c>
      <c r="B484" t="inlineStr">
        <is>
          <t>003060</t>
        </is>
      </c>
      <c r="C484" t="inlineStr">
        <is>
          <t>매출액</t>
        </is>
      </c>
      <c r="D484" t="inlineStr">
        <is>
          <t>당기 YTD</t>
        </is>
      </c>
      <c r="E484" s="3" t="n">
        <v>44698557114</v>
      </c>
      <c r="F484" t="inlineStr">
        <is>
          <t>id</t>
        </is>
      </c>
      <c r="G484" t="inlineStr">
        <is>
          <t>ifrs-full_Revenue</t>
        </is>
      </c>
      <c r="H484" t="inlineStr">
        <is>
          <t>매출액</t>
        </is>
      </c>
      <c r="I484" t="inlineStr">
        <is>
          <t>20260813001428</t>
        </is>
      </c>
      <c r="J484" s="4" t="inlineStr">
        <is>
          <t>열기</t>
        </is>
      </c>
    </row>
    <row r="485">
      <c r="A485" t="inlineStr">
        <is>
          <t>에이프로젠바이오로직스</t>
        </is>
      </c>
      <c r="B485" t="inlineStr">
        <is>
          <t>003060</t>
        </is>
      </c>
      <c r="C485" t="inlineStr">
        <is>
          <t>매출액</t>
        </is>
      </c>
      <c r="D485" t="inlineStr">
        <is>
          <t>전년 연간</t>
        </is>
      </c>
      <c r="E485" s="3" t="n">
        <v>73226140158</v>
      </c>
      <c r="F485" t="inlineStr"/>
      <c r="I485" t="inlineStr">
        <is>
          <t>20260320000881</t>
        </is>
      </c>
      <c r="J485" s="4" t="inlineStr">
        <is>
          <t>열기</t>
        </is>
      </c>
    </row>
    <row r="486">
      <c r="A486" t="inlineStr">
        <is>
          <t>에이프로젠바이오로직스</t>
        </is>
      </c>
      <c r="B486" t="inlineStr">
        <is>
          <t>003060</t>
        </is>
      </c>
      <c r="C486" t="inlineStr">
        <is>
          <t>매출액</t>
        </is>
      </c>
      <c r="D486" t="inlineStr">
        <is>
          <t>전년 동기 YTD</t>
        </is>
      </c>
      <c r="E486" s="3" t="n">
        <v>31744140230</v>
      </c>
      <c r="F486" t="inlineStr"/>
      <c r="I486" t="inlineStr">
        <is>
          <t>20250813001398</t>
        </is>
      </c>
      <c r="J486" s="4" t="inlineStr">
        <is>
          <t>열기</t>
        </is>
      </c>
    </row>
    <row r="487">
      <c r="A487" t="inlineStr">
        <is>
          <t>에이프로젠바이오로직스</t>
        </is>
      </c>
      <c r="B487" t="inlineStr">
        <is>
          <t>003060</t>
        </is>
      </c>
      <c r="C487" t="inlineStr">
        <is>
          <t>매출총이익</t>
        </is>
      </c>
      <c r="D487" t="inlineStr">
        <is>
          <t>당기 YTD</t>
        </is>
      </c>
      <c r="E487" s="3" t="n">
        <v>-14233943292</v>
      </c>
      <c r="F487" t="inlineStr">
        <is>
          <t>id</t>
        </is>
      </c>
      <c r="G487" t="inlineStr">
        <is>
          <t>ifrs-full_GrossProfit</t>
        </is>
      </c>
      <c r="H487" t="inlineStr">
        <is>
          <t>매출총이익</t>
        </is>
      </c>
      <c r="I487" t="inlineStr">
        <is>
          <t>20260813001428</t>
        </is>
      </c>
      <c r="J487" s="4" t="inlineStr">
        <is>
          <t>열기</t>
        </is>
      </c>
    </row>
    <row r="488">
      <c r="A488" t="inlineStr">
        <is>
          <t>에이프로젠바이오로직스</t>
        </is>
      </c>
      <c r="B488" t="inlineStr">
        <is>
          <t>003060</t>
        </is>
      </c>
      <c r="C488" t="inlineStr">
        <is>
          <t>매출총이익</t>
        </is>
      </c>
      <c r="D488" t="inlineStr">
        <is>
          <t>전년 연간</t>
        </is>
      </c>
      <c r="E488" s="3" t="n">
        <v>-27031797009</v>
      </c>
      <c r="F488" t="inlineStr"/>
      <c r="I488" t="inlineStr">
        <is>
          <t>20260320000881</t>
        </is>
      </c>
      <c r="J488" s="4" t="inlineStr">
        <is>
          <t>열기</t>
        </is>
      </c>
    </row>
    <row r="489">
      <c r="A489" t="inlineStr">
        <is>
          <t>에이프로젠바이오로직스</t>
        </is>
      </c>
      <c r="B489" t="inlineStr">
        <is>
          <t>003060</t>
        </is>
      </c>
      <c r="C489" t="inlineStr">
        <is>
          <t>매출총이익</t>
        </is>
      </c>
      <c r="D489" t="inlineStr">
        <is>
          <t>전년 동기 YTD</t>
        </is>
      </c>
      <c r="E489" s="3" t="n">
        <v>-17728748304</v>
      </c>
      <c r="F489" t="inlineStr"/>
      <c r="I489" t="inlineStr">
        <is>
          <t>20250813001398</t>
        </is>
      </c>
      <c r="J489" s="4" t="inlineStr">
        <is>
          <t>열기</t>
        </is>
      </c>
    </row>
    <row r="490">
      <c r="A490" t="inlineStr">
        <is>
          <t>에이프로젠바이오로직스</t>
        </is>
      </c>
      <c r="B490" t="inlineStr">
        <is>
          <t>003060</t>
        </is>
      </c>
      <c r="C490" t="inlineStr">
        <is>
          <t>영업이익</t>
        </is>
      </c>
      <c r="D490" t="inlineStr">
        <is>
          <t>당기 YTD</t>
        </is>
      </c>
      <c r="E490" s="3" t="n">
        <v>-31074598752</v>
      </c>
      <c r="F490" t="inlineStr">
        <is>
          <t>id</t>
        </is>
      </c>
      <c r="G490" t="inlineStr">
        <is>
          <t>dart_OperatingIncomeLoss</t>
        </is>
      </c>
      <c r="H490" t="inlineStr">
        <is>
          <t>영업이익(손실)</t>
        </is>
      </c>
      <c r="I490" t="inlineStr">
        <is>
          <t>20260813001428</t>
        </is>
      </c>
      <c r="J490" s="4" t="inlineStr">
        <is>
          <t>열기</t>
        </is>
      </c>
    </row>
    <row r="491">
      <c r="A491" t="inlineStr">
        <is>
          <t>에이프로젠바이오로직스</t>
        </is>
      </c>
      <c r="B491" t="inlineStr">
        <is>
          <t>003060</t>
        </is>
      </c>
      <c r="C491" t="inlineStr">
        <is>
          <t>영업이익</t>
        </is>
      </c>
      <c r="D491" t="inlineStr">
        <is>
          <t>전년 연간</t>
        </is>
      </c>
      <c r="E491" s="3" t="n">
        <v>-60354664385</v>
      </c>
      <c r="F491" t="inlineStr"/>
      <c r="I491" t="inlineStr">
        <is>
          <t>20260320000881</t>
        </is>
      </c>
      <c r="J491" s="4" t="inlineStr">
        <is>
          <t>열기</t>
        </is>
      </c>
    </row>
    <row r="492">
      <c r="A492" t="inlineStr">
        <is>
          <t>에이프로젠바이오로직스</t>
        </is>
      </c>
      <c r="B492" t="inlineStr">
        <is>
          <t>003060</t>
        </is>
      </c>
      <c r="C492" t="inlineStr">
        <is>
          <t>영업이익</t>
        </is>
      </c>
      <c r="D492" t="inlineStr">
        <is>
          <t>전년 동기 YTD</t>
        </is>
      </c>
      <c r="E492" s="3" t="n">
        <v>-33689259920</v>
      </c>
      <c r="F492" t="inlineStr"/>
      <c r="I492" t="inlineStr">
        <is>
          <t>20250813001398</t>
        </is>
      </c>
      <c r="J492" s="4" t="inlineStr">
        <is>
          <t>열기</t>
        </is>
      </c>
    </row>
    <row r="493">
      <c r="A493" t="inlineStr">
        <is>
          <t>에이프로젠바이오로직스</t>
        </is>
      </c>
      <c r="B493" t="inlineStr">
        <is>
          <t>003060</t>
        </is>
      </c>
      <c r="C493" t="inlineStr">
        <is>
          <t>영업현금흐름</t>
        </is>
      </c>
      <c r="D493" t="inlineStr">
        <is>
          <t>당기 YTD</t>
        </is>
      </c>
      <c r="E493" s="3" t="n">
        <v>-15813360386</v>
      </c>
      <c r="F493" t="inlineStr">
        <is>
          <t>id</t>
        </is>
      </c>
      <c r="G493" t="inlineStr">
        <is>
          <t>ifrs-full_CashFlowsFromUsedInOperatingActivities</t>
        </is>
      </c>
      <c r="H493" t="inlineStr">
        <is>
          <t>영업활동현금흐름</t>
        </is>
      </c>
      <c r="I493" t="inlineStr">
        <is>
          <t>20260813001428</t>
        </is>
      </c>
      <c r="J493" s="4" t="inlineStr">
        <is>
          <t>열기</t>
        </is>
      </c>
    </row>
    <row r="494">
      <c r="A494" t="inlineStr">
        <is>
          <t>에이프로젠바이오로직스</t>
        </is>
      </c>
      <c r="B494" t="inlineStr">
        <is>
          <t>003060</t>
        </is>
      </c>
      <c r="C494" t="inlineStr">
        <is>
          <t>영업현금흐름</t>
        </is>
      </c>
      <c r="D494" t="inlineStr">
        <is>
          <t>전년 연간</t>
        </is>
      </c>
      <c r="E494" s="3" t="n">
        <v>-38232646549</v>
      </c>
      <c r="F494" t="inlineStr"/>
      <c r="I494" t="inlineStr">
        <is>
          <t>20260320000881</t>
        </is>
      </c>
      <c r="J494" s="4" t="inlineStr">
        <is>
          <t>열기</t>
        </is>
      </c>
    </row>
    <row r="495">
      <c r="A495" t="inlineStr">
        <is>
          <t>에이프로젠바이오로직스</t>
        </is>
      </c>
      <c r="B495" t="inlineStr">
        <is>
          <t>003060</t>
        </is>
      </c>
      <c r="C495" t="inlineStr">
        <is>
          <t>영업현금흐름</t>
        </is>
      </c>
      <c r="D495" t="inlineStr">
        <is>
          <t>전년 동기 YTD</t>
        </is>
      </c>
      <c r="E495" s="3" t="n">
        <v>-21725749483</v>
      </c>
      <c r="F495" t="inlineStr"/>
      <c r="I495" t="inlineStr">
        <is>
          <t>20250813001398</t>
        </is>
      </c>
      <c r="J495" s="4" t="inlineStr">
        <is>
          <t>열기</t>
        </is>
      </c>
    </row>
    <row r="496">
      <c r="A496" t="inlineStr">
        <is>
          <t>에이프로젠바이오로직스</t>
        </is>
      </c>
      <c r="B496" t="inlineStr">
        <is>
          <t>003060</t>
        </is>
      </c>
      <c r="C496" t="inlineStr">
        <is>
          <t>지배주주자본</t>
        </is>
      </c>
      <c r="D496" t="inlineStr">
        <is>
          <t>당기말</t>
        </is>
      </c>
      <c r="E496" s="3" t="n">
        <v>194239460560</v>
      </c>
      <c r="F496" t="inlineStr">
        <is>
          <t>id</t>
        </is>
      </c>
      <c r="G496" t="inlineStr">
        <is>
          <t>ifrs-full_EquityAttributableToOwnersOfParent</t>
        </is>
      </c>
      <c r="H496" t="inlineStr">
        <is>
          <t>지배기업 소유주지분</t>
        </is>
      </c>
      <c r="I496" t="inlineStr">
        <is>
          <t>20260813001428</t>
        </is>
      </c>
      <c r="J496" s="4" t="inlineStr">
        <is>
          <t>열기</t>
        </is>
      </c>
    </row>
    <row r="497">
      <c r="A497" t="inlineStr">
        <is>
          <t>에이프로젠바이오로직스</t>
        </is>
      </c>
      <c r="B497" t="inlineStr">
        <is>
          <t>003060</t>
        </is>
      </c>
      <c r="C497" t="inlineStr">
        <is>
          <t>지배주주자본</t>
        </is>
      </c>
      <c r="D497" t="inlineStr">
        <is>
          <t>전년 동기말</t>
        </is>
      </c>
      <c r="E497" s="3" t="n">
        <v>267735466551</v>
      </c>
      <c r="F497" t="inlineStr"/>
      <c r="I497" t="inlineStr">
        <is>
          <t>20250813001398</t>
        </is>
      </c>
      <c r="J497" s="4" t="inlineStr">
        <is>
          <t>열기</t>
        </is>
      </c>
    </row>
    <row r="498">
      <c r="A498" t="inlineStr">
        <is>
          <t>에이프로젠바이오로직스</t>
        </is>
      </c>
      <c r="B498" t="inlineStr">
        <is>
          <t>003060</t>
        </is>
      </c>
      <c r="C498" t="inlineStr">
        <is>
          <t>자산총계</t>
        </is>
      </c>
      <c r="D498" t="inlineStr">
        <is>
          <t>당기말</t>
        </is>
      </c>
      <c r="E498" s="3" t="n">
        <v>548412752055</v>
      </c>
      <c r="F498" t="inlineStr">
        <is>
          <t>id</t>
        </is>
      </c>
      <c r="G498" t="inlineStr">
        <is>
          <t>ifrs-full_Assets</t>
        </is>
      </c>
      <c r="H498" t="inlineStr">
        <is>
          <t>자산총계</t>
        </is>
      </c>
      <c r="I498" t="inlineStr">
        <is>
          <t>20260813001428</t>
        </is>
      </c>
      <c r="J498" s="4" t="inlineStr">
        <is>
          <t>열기</t>
        </is>
      </c>
    </row>
    <row r="499">
      <c r="A499" t="inlineStr">
        <is>
          <t>에이프로젠바이오로직스</t>
        </is>
      </c>
      <c r="B499" t="inlineStr">
        <is>
          <t>003060</t>
        </is>
      </c>
      <c r="C499" t="inlineStr">
        <is>
          <t>자산총계</t>
        </is>
      </c>
      <c r="D499" t="inlineStr">
        <is>
          <t>전년 동기말</t>
        </is>
      </c>
      <c r="E499" s="3" t="n">
        <v>600065401483</v>
      </c>
      <c r="F499" t="inlineStr"/>
      <c r="I499" t="inlineStr">
        <is>
          <t>20250813001398</t>
        </is>
      </c>
      <c r="J499" s="4" t="inlineStr">
        <is>
          <t>열기</t>
        </is>
      </c>
    </row>
    <row r="500">
      <c r="A500" t="inlineStr">
        <is>
          <t>에이프로젠바이오로직스</t>
        </is>
      </c>
      <c r="B500" t="inlineStr">
        <is>
          <t>003060</t>
        </is>
      </c>
      <c r="C500" t="inlineStr">
        <is>
          <t>이자부부채</t>
        </is>
      </c>
      <c r="D500" t="inlineStr">
        <is>
          <t>당기말</t>
        </is>
      </c>
      <c r="E500" s="3" t="n">
        <v>189950911938</v>
      </c>
      <c r="F500" t="inlineStr">
        <is>
          <t>id</t>
        </is>
      </c>
      <c r="G500" t="inlineStr">
        <is>
          <t>dart_CurrentPortionOfConvertibleBonds + ifrs-full_ShorttermBorrowings + ifrs-full_NoncurrentPortionOfNoncurrentLoansReceived</t>
        </is>
      </c>
      <c r="H500" t="inlineStr">
        <is>
          <t>유동성전환사채 + 차입금 및 사채 + 비유동 금융기관 차입금(사채 제외)의 비유동성 대체 부분</t>
        </is>
      </c>
      <c r="I500" t="inlineStr">
        <is>
          <t>20260813001428</t>
        </is>
      </c>
      <c r="J500" s="4" t="inlineStr">
        <is>
          <t>열기</t>
        </is>
      </c>
    </row>
    <row r="501">
      <c r="A501" t="inlineStr">
        <is>
          <t>에이프로젠바이오로직스</t>
        </is>
      </c>
      <c r="B501" t="inlineStr">
        <is>
          <t>003060</t>
        </is>
      </c>
      <c r="C501" t="inlineStr">
        <is>
          <t>이자부부채</t>
        </is>
      </c>
      <c r="D501" t="inlineStr">
        <is>
          <t>전년 동기말</t>
        </is>
      </c>
      <c r="E501" s="3" t="n">
        <v>161457373663</v>
      </c>
      <c r="F501" t="inlineStr"/>
      <c r="I501" t="inlineStr">
        <is>
          <t>20250813001398</t>
        </is>
      </c>
      <c r="J501" s="4" t="inlineStr">
        <is>
          <t>열기</t>
        </is>
      </c>
    </row>
    <row r="502">
      <c r="A502" t="inlineStr">
        <is>
          <t>에이프로젠바이오로직스</t>
        </is>
      </c>
      <c r="B502" t="inlineStr">
        <is>
          <t>003060</t>
        </is>
      </c>
      <c r="C502" t="inlineStr">
        <is>
          <t>현금성자산</t>
        </is>
      </c>
      <c r="D502" t="inlineStr">
        <is>
          <t>당기말</t>
        </is>
      </c>
      <c r="E502" s="3" t="n">
        <v>22427828883</v>
      </c>
      <c r="F502" t="inlineStr">
        <is>
          <t>id</t>
        </is>
      </c>
      <c r="G502" t="inlineStr">
        <is>
          <t>ifrs-full_CashAndCashEquivalents</t>
        </is>
      </c>
      <c r="H502" t="inlineStr">
        <is>
          <t>현금및현금성자산</t>
        </is>
      </c>
      <c r="I502" t="inlineStr">
        <is>
          <t>20260813001428</t>
        </is>
      </c>
      <c r="J502" s="4" t="inlineStr">
        <is>
          <t>열기</t>
        </is>
      </c>
    </row>
    <row r="503">
      <c r="A503" t="inlineStr">
        <is>
          <t>에이프로젠바이오로직스</t>
        </is>
      </c>
      <c r="B503" t="inlineStr">
        <is>
          <t>003060</t>
        </is>
      </c>
      <c r="C503" t="inlineStr">
        <is>
          <t>현금성자산</t>
        </is>
      </c>
      <c r="D503" t="inlineStr">
        <is>
          <t>전년 동기말</t>
        </is>
      </c>
      <c r="E503" s="3" t="n">
        <v>25732454114</v>
      </c>
      <c r="F503" t="inlineStr"/>
      <c r="I503" t="inlineStr">
        <is>
          <t>20250813001398</t>
        </is>
      </c>
      <c r="J503" s="4" t="inlineStr">
        <is>
          <t>열기</t>
        </is>
      </c>
    </row>
    <row r="504">
      <c r="A504" t="inlineStr">
        <is>
          <t>에이프로젠바이오로직스</t>
        </is>
      </c>
      <c r="B504" t="inlineStr">
        <is>
          <t>003060</t>
        </is>
      </c>
      <c r="C504" t="inlineStr">
        <is>
          <t>단기금융상품</t>
        </is>
      </c>
      <c r="D504" t="inlineStr">
        <is>
          <t>당기말</t>
        </is>
      </c>
      <c r="E504" s="3" t="n">
        <v>0</v>
      </c>
      <c r="F504" t="inlineStr">
        <is>
          <t>zero_default</t>
        </is>
      </c>
      <c r="I504" t="inlineStr">
        <is>
          <t>20260813001428</t>
        </is>
      </c>
      <c r="J504" s="4" t="inlineStr">
        <is>
          <t>열기</t>
        </is>
      </c>
    </row>
    <row r="505">
      <c r="A505" t="inlineStr">
        <is>
          <t>에이프로젠바이오로직스</t>
        </is>
      </c>
      <c r="B505" t="inlineStr">
        <is>
          <t>003060</t>
        </is>
      </c>
      <c r="C505" t="inlineStr">
        <is>
          <t>단기금융상품</t>
        </is>
      </c>
      <c r="D505" t="inlineStr">
        <is>
          <t>전년 동기말</t>
        </is>
      </c>
      <c r="E505" s="3" t="n">
        <v>0</v>
      </c>
      <c r="F505" t="inlineStr"/>
      <c r="I505" t="inlineStr">
        <is>
          <t>20250813001398</t>
        </is>
      </c>
      <c r="J505" s="4" t="inlineStr">
        <is>
          <t>열기</t>
        </is>
      </c>
    </row>
    <row r="506">
      <c r="A506" t="inlineStr">
        <is>
          <t>SGC E&amp;C</t>
        </is>
      </c>
      <c r="B506" t="inlineStr">
        <is>
          <t>016250</t>
        </is>
      </c>
      <c r="C506" t="inlineStr">
        <is>
          <t>지배주주순이익</t>
        </is>
      </c>
      <c r="D506" t="inlineStr">
        <is>
          <t>당기 YTD</t>
        </is>
      </c>
      <c r="E506" s="3" t="n">
        <v>14255757950</v>
      </c>
      <c r="F506" t="inlineStr">
        <is>
          <t>id</t>
        </is>
      </c>
      <c r="G506" t="inlineStr">
        <is>
          <t>ifrs-full_ProfitLossAttributableToOwnersOfParent</t>
        </is>
      </c>
      <c r="H506" t="inlineStr">
        <is>
          <t>지배기업의 소유주에게 귀속되는 당기순이익(손실)</t>
        </is>
      </c>
      <c r="I506" t="inlineStr">
        <is>
          <t>20260814000203</t>
        </is>
      </c>
      <c r="J506" s="4" t="inlineStr">
        <is>
          <t>열기</t>
        </is>
      </c>
    </row>
    <row r="507">
      <c r="A507" t="inlineStr">
        <is>
          <t>SGC E&amp;C</t>
        </is>
      </c>
      <c r="B507" t="inlineStr">
        <is>
          <t>016250</t>
        </is>
      </c>
      <c r="C507" t="inlineStr">
        <is>
          <t>지배주주순이익</t>
        </is>
      </c>
      <c r="D507" t="inlineStr">
        <is>
          <t>전년 연간</t>
        </is>
      </c>
      <c r="E507" s="3" t="n">
        <v>-64493456226</v>
      </c>
      <c r="F507" t="inlineStr"/>
      <c r="I507" t="inlineStr">
        <is>
          <t>20260311004333</t>
        </is>
      </c>
      <c r="J507" s="4" t="inlineStr">
        <is>
          <t>열기</t>
        </is>
      </c>
    </row>
    <row r="508">
      <c r="A508" t="inlineStr">
        <is>
          <t>SGC E&amp;C</t>
        </is>
      </c>
      <c r="B508" t="inlineStr">
        <is>
          <t>016250</t>
        </is>
      </c>
      <c r="C508" t="inlineStr">
        <is>
          <t>지배주주순이익</t>
        </is>
      </c>
      <c r="D508" t="inlineStr">
        <is>
          <t>전년 동기 YTD</t>
        </is>
      </c>
      <c r="E508" s="3" t="n">
        <v>-4053504027</v>
      </c>
      <c r="F508" t="inlineStr"/>
      <c r="I508" t="inlineStr">
        <is>
          <t>20250904000348</t>
        </is>
      </c>
      <c r="J508" s="4" t="inlineStr">
        <is>
          <t>열기</t>
        </is>
      </c>
    </row>
    <row r="509">
      <c r="A509" t="inlineStr">
        <is>
          <t>SGC E&amp;C</t>
        </is>
      </c>
      <c r="B509" t="inlineStr">
        <is>
          <t>016250</t>
        </is>
      </c>
      <c r="C509" t="inlineStr">
        <is>
          <t>당기순이익</t>
        </is>
      </c>
      <c r="D509" t="inlineStr">
        <is>
          <t>당기 YTD</t>
        </is>
      </c>
      <c r="E509" s="3" t="n">
        <v>10244585175</v>
      </c>
      <c r="F509" t="inlineStr">
        <is>
          <t>id</t>
        </is>
      </c>
      <c r="G509" t="inlineStr">
        <is>
          <t>ifrs-full_ProfitLoss</t>
        </is>
      </c>
      <c r="H509" t="inlineStr">
        <is>
          <t>반기순이익(손실)</t>
        </is>
      </c>
      <c r="I509" t="inlineStr">
        <is>
          <t>20260814000203</t>
        </is>
      </c>
      <c r="J509" s="4" t="inlineStr">
        <is>
          <t>열기</t>
        </is>
      </c>
    </row>
    <row r="510">
      <c r="A510" t="inlineStr">
        <is>
          <t>SGC E&amp;C</t>
        </is>
      </c>
      <c r="B510" t="inlineStr">
        <is>
          <t>016250</t>
        </is>
      </c>
      <c r="C510" t="inlineStr">
        <is>
          <t>당기순이익</t>
        </is>
      </c>
      <c r="D510" t="inlineStr">
        <is>
          <t>전년 연간</t>
        </is>
      </c>
      <c r="E510" s="3" t="n">
        <v>-74826698792</v>
      </c>
      <c r="F510" t="inlineStr"/>
      <c r="I510" t="inlineStr">
        <is>
          <t>20260311004333</t>
        </is>
      </c>
      <c r="J510" s="4" t="inlineStr">
        <is>
          <t>열기</t>
        </is>
      </c>
    </row>
    <row r="511">
      <c r="A511" t="inlineStr">
        <is>
          <t>SGC E&amp;C</t>
        </is>
      </c>
      <c r="B511" t="inlineStr">
        <is>
          <t>016250</t>
        </is>
      </c>
      <c r="C511" t="inlineStr">
        <is>
          <t>당기순이익</t>
        </is>
      </c>
      <c r="D511" t="inlineStr">
        <is>
          <t>전년 동기 YTD</t>
        </is>
      </c>
      <c r="E511" s="3" t="n">
        <v>-7872574128</v>
      </c>
      <c r="F511" t="inlineStr"/>
      <c r="I511" t="inlineStr">
        <is>
          <t>20250904000348</t>
        </is>
      </c>
      <c r="J511" s="4" t="inlineStr">
        <is>
          <t>열기</t>
        </is>
      </c>
    </row>
    <row r="512">
      <c r="A512" t="inlineStr">
        <is>
          <t>SGC E&amp;C</t>
        </is>
      </c>
      <c r="B512" t="inlineStr">
        <is>
          <t>016250</t>
        </is>
      </c>
      <c r="C512" t="inlineStr">
        <is>
          <t>매출액</t>
        </is>
      </c>
      <c r="D512" t="inlineStr">
        <is>
          <t>당기 YTD</t>
        </is>
      </c>
      <c r="E512" s="3" t="n">
        <v>596525917190</v>
      </c>
      <c r="F512" t="inlineStr">
        <is>
          <t>id</t>
        </is>
      </c>
      <c r="G512" t="inlineStr">
        <is>
          <t>ifrs-full_Revenue</t>
        </is>
      </c>
      <c r="H512" t="inlineStr">
        <is>
          <t>영업수익</t>
        </is>
      </c>
      <c r="I512" t="inlineStr">
        <is>
          <t>20260814000203</t>
        </is>
      </c>
      <c r="J512" s="4" t="inlineStr">
        <is>
          <t>열기</t>
        </is>
      </c>
    </row>
    <row r="513">
      <c r="A513" t="inlineStr">
        <is>
          <t>SGC E&amp;C</t>
        </is>
      </c>
      <c r="B513" t="inlineStr">
        <is>
          <t>016250</t>
        </is>
      </c>
      <c r="C513" t="inlineStr">
        <is>
          <t>매출액</t>
        </is>
      </c>
      <c r="D513" t="inlineStr">
        <is>
          <t>전년 연간</t>
        </is>
      </c>
      <c r="E513" s="3" t="n">
        <v>1342032374780</v>
      </c>
      <c r="F513" t="inlineStr"/>
      <c r="I513" t="inlineStr">
        <is>
          <t>20260311004333</t>
        </is>
      </c>
      <c r="J513" s="4" t="inlineStr">
        <is>
          <t>열기</t>
        </is>
      </c>
    </row>
    <row r="514">
      <c r="A514" t="inlineStr">
        <is>
          <t>SGC E&amp;C</t>
        </is>
      </c>
      <c r="B514" t="inlineStr">
        <is>
          <t>016250</t>
        </is>
      </c>
      <c r="C514" t="inlineStr">
        <is>
          <t>매출액</t>
        </is>
      </c>
      <c r="D514" t="inlineStr">
        <is>
          <t>전년 동기 YTD</t>
        </is>
      </c>
      <c r="E514" s="3" t="n">
        <v>665992946135</v>
      </c>
      <c r="F514" t="inlineStr"/>
      <c r="I514" t="inlineStr">
        <is>
          <t>20250904000348</t>
        </is>
      </c>
      <c r="J514" s="4" t="inlineStr">
        <is>
          <t>열기</t>
        </is>
      </c>
    </row>
    <row r="515">
      <c r="A515" t="inlineStr">
        <is>
          <t>SGC E&amp;C</t>
        </is>
      </c>
      <c r="B515" t="inlineStr">
        <is>
          <t>016250</t>
        </is>
      </c>
      <c r="C515" t="inlineStr">
        <is>
          <t>매출총이익</t>
        </is>
      </c>
      <c r="D515" t="inlineStr">
        <is>
          <t>당기 YTD</t>
        </is>
      </c>
      <c r="E515" s="3" t="n">
        <v>59064567570</v>
      </c>
      <c r="F515" t="inlineStr">
        <is>
          <t>id</t>
        </is>
      </c>
      <c r="G515" t="inlineStr">
        <is>
          <t>ifrs-full_GrossProfit</t>
        </is>
      </c>
      <c r="H515" t="inlineStr">
        <is>
          <t>매출총이익</t>
        </is>
      </c>
      <c r="I515" t="inlineStr">
        <is>
          <t>20260814000203</t>
        </is>
      </c>
      <c r="J515" s="4" t="inlineStr">
        <is>
          <t>열기</t>
        </is>
      </c>
    </row>
    <row r="516">
      <c r="A516" t="inlineStr">
        <is>
          <t>SGC E&amp;C</t>
        </is>
      </c>
      <c r="B516" t="inlineStr">
        <is>
          <t>016250</t>
        </is>
      </c>
      <c r="C516" t="inlineStr">
        <is>
          <t>매출총이익</t>
        </is>
      </c>
      <c r="D516" t="inlineStr">
        <is>
          <t>전년 연간</t>
        </is>
      </c>
      <c r="E516" s="3" t="n">
        <v>107852858090</v>
      </c>
      <c r="F516" t="inlineStr"/>
      <c r="I516" t="inlineStr">
        <is>
          <t>20260311004333</t>
        </is>
      </c>
      <c r="J516" s="4" t="inlineStr">
        <is>
          <t>열기</t>
        </is>
      </c>
    </row>
    <row r="517">
      <c r="A517" t="inlineStr">
        <is>
          <t>SGC E&amp;C</t>
        </is>
      </c>
      <c r="B517" t="inlineStr">
        <is>
          <t>016250</t>
        </is>
      </c>
      <c r="C517" t="inlineStr">
        <is>
          <t>매출총이익</t>
        </is>
      </c>
      <c r="D517" t="inlineStr">
        <is>
          <t>전년 동기 YTD</t>
        </is>
      </c>
      <c r="E517" s="3" t="n">
        <v>53815087074</v>
      </c>
      <c r="F517" t="inlineStr"/>
      <c r="I517" t="inlineStr">
        <is>
          <t>20250904000348</t>
        </is>
      </c>
      <c r="J517" s="4" t="inlineStr">
        <is>
          <t>열기</t>
        </is>
      </c>
    </row>
    <row r="518">
      <c r="A518" t="inlineStr">
        <is>
          <t>SGC E&amp;C</t>
        </is>
      </c>
      <c r="B518" t="inlineStr">
        <is>
          <t>016250</t>
        </is>
      </c>
      <c r="C518" t="inlineStr">
        <is>
          <t>영업이익</t>
        </is>
      </c>
      <c r="D518" t="inlineStr">
        <is>
          <t>당기 YTD</t>
        </is>
      </c>
      <c r="E518" s="3" t="n">
        <v>32190615843</v>
      </c>
      <c r="F518" t="inlineStr">
        <is>
          <t>id</t>
        </is>
      </c>
      <c r="G518" t="inlineStr">
        <is>
          <t>dart_OperatingIncomeLoss</t>
        </is>
      </c>
      <c r="H518" t="inlineStr">
        <is>
          <t>영업이익(손실)</t>
        </is>
      </c>
      <c r="I518" t="inlineStr">
        <is>
          <t>20260814000203</t>
        </is>
      </c>
      <c r="J518" s="4" t="inlineStr">
        <is>
          <t>열기</t>
        </is>
      </c>
    </row>
    <row r="519">
      <c r="A519" t="inlineStr">
        <is>
          <t>SGC E&amp;C</t>
        </is>
      </c>
      <c r="B519" t="inlineStr">
        <is>
          <t>016250</t>
        </is>
      </c>
      <c r="C519" t="inlineStr">
        <is>
          <t>영업이익</t>
        </is>
      </c>
      <c r="D519" t="inlineStr">
        <is>
          <t>전년 연간</t>
        </is>
      </c>
      <c r="E519" s="3" t="n">
        <v>52749511611</v>
      </c>
      <c r="F519" t="inlineStr"/>
      <c r="I519" t="inlineStr">
        <is>
          <t>20260311004333</t>
        </is>
      </c>
      <c r="J519" s="4" t="inlineStr">
        <is>
          <t>열기</t>
        </is>
      </c>
    </row>
    <row r="520">
      <c r="A520" t="inlineStr">
        <is>
          <t>SGC E&amp;C</t>
        </is>
      </c>
      <c r="B520" t="inlineStr">
        <is>
          <t>016250</t>
        </is>
      </c>
      <c r="C520" t="inlineStr">
        <is>
          <t>영업이익</t>
        </is>
      </c>
      <c r="D520" t="inlineStr">
        <is>
          <t>전년 동기 YTD</t>
        </is>
      </c>
      <c r="E520" s="3" t="n">
        <v>26515441473</v>
      </c>
      <c r="F520" t="inlineStr"/>
      <c r="I520" t="inlineStr">
        <is>
          <t>20250904000348</t>
        </is>
      </c>
      <c r="J520" s="4" t="inlineStr">
        <is>
          <t>열기</t>
        </is>
      </c>
    </row>
    <row r="521">
      <c r="A521" t="inlineStr">
        <is>
          <t>SGC E&amp;C</t>
        </is>
      </c>
      <c r="B521" t="inlineStr">
        <is>
          <t>016250</t>
        </is>
      </c>
      <c r="C521" t="inlineStr">
        <is>
          <t>영업현금흐름</t>
        </is>
      </c>
      <c r="D521" t="inlineStr">
        <is>
          <t>당기 YTD</t>
        </is>
      </c>
      <c r="E521" s="3" t="n">
        <v>-52158065895</v>
      </c>
      <c r="F521" t="inlineStr">
        <is>
          <t>id</t>
        </is>
      </c>
      <c r="G521" t="inlineStr">
        <is>
          <t>ifrs-full_CashFlowsFromUsedInOperatingActivities</t>
        </is>
      </c>
      <c r="H521" t="inlineStr">
        <is>
          <t>영업활동현금흐름</t>
        </is>
      </c>
      <c r="I521" t="inlineStr">
        <is>
          <t>20260814000203</t>
        </is>
      </c>
      <c r="J521" s="4" t="inlineStr">
        <is>
          <t>열기</t>
        </is>
      </c>
    </row>
    <row r="522">
      <c r="A522" t="inlineStr">
        <is>
          <t>SGC E&amp;C</t>
        </is>
      </c>
      <c r="B522" t="inlineStr">
        <is>
          <t>016250</t>
        </is>
      </c>
      <c r="C522" t="inlineStr">
        <is>
          <t>영업현금흐름</t>
        </is>
      </c>
      <c r="D522" t="inlineStr">
        <is>
          <t>전년 연간</t>
        </is>
      </c>
      <c r="E522" s="3" t="n">
        <v>-89784974912</v>
      </c>
      <c r="F522" t="inlineStr"/>
      <c r="I522" t="inlineStr">
        <is>
          <t>20260311004333</t>
        </is>
      </c>
      <c r="J522" s="4" t="inlineStr">
        <is>
          <t>열기</t>
        </is>
      </c>
    </row>
    <row r="523">
      <c r="A523" t="inlineStr">
        <is>
          <t>SGC E&amp;C</t>
        </is>
      </c>
      <c r="B523" t="inlineStr">
        <is>
          <t>016250</t>
        </is>
      </c>
      <c r="C523" t="inlineStr">
        <is>
          <t>영업현금흐름</t>
        </is>
      </c>
      <c r="D523" t="inlineStr">
        <is>
          <t>전년 동기 YTD</t>
        </is>
      </c>
      <c r="E523" s="3" t="n">
        <v>-100769029395</v>
      </c>
      <c r="F523" t="inlineStr"/>
      <c r="I523" t="inlineStr">
        <is>
          <t>20250904000348</t>
        </is>
      </c>
      <c r="J523" s="4" t="inlineStr">
        <is>
          <t>열기</t>
        </is>
      </c>
    </row>
    <row r="524">
      <c r="A524" t="inlineStr">
        <is>
          <t>SGC E&amp;C</t>
        </is>
      </c>
      <c r="B524" t="inlineStr">
        <is>
          <t>016250</t>
        </is>
      </c>
      <c r="C524" t="inlineStr">
        <is>
          <t>지배주주자본</t>
        </is>
      </c>
      <c r="D524" t="inlineStr">
        <is>
          <t>당기말</t>
        </is>
      </c>
      <c r="E524" s="3" t="n">
        <v>362366317283</v>
      </c>
      <c r="F524" t="inlineStr">
        <is>
          <t>id</t>
        </is>
      </c>
      <c r="G524" t="inlineStr">
        <is>
          <t>ifrs-full_EquityAttributableToOwnersOfParent</t>
        </is>
      </c>
      <c r="H524" t="inlineStr">
        <is>
          <t>지배기업의 소유주에게 귀속되는 자본</t>
        </is>
      </c>
      <c r="I524" t="inlineStr">
        <is>
          <t>20260814000203</t>
        </is>
      </c>
      <c r="J524" s="4" t="inlineStr">
        <is>
          <t>열기</t>
        </is>
      </c>
    </row>
    <row r="525">
      <c r="A525" t="inlineStr">
        <is>
          <t>SGC E&amp;C</t>
        </is>
      </c>
      <c r="B525" t="inlineStr">
        <is>
          <t>016250</t>
        </is>
      </c>
      <c r="C525" t="inlineStr">
        <is>
          <t>지배주주자본</t>
        </is>
      </c>
      <c r="D525" t="inlineStr">
        <is>
          <t>전년 동기말</t>
        </is>
      </c>
      <c r="E525" s="3" t="n">
        <v>426004692851</v>
      </c>
      <c r="F525" t="inlineStr"/>
      <c r="I525" t="inlineStr">
        <is>
          <t>20250904000348</t>
        </is>
      </c>
      <c r="J525" s="4" t="inlineStr">
        <is>
          <t>열기</t>
        </is>
      </c>
    </row>
    <row r="526">
      <c r="A526" t="inlineStr">
        <is>
          <t>SGC E&amp;C</t>
        </is>
      </c>
      <c r="B526" t="inlineStr">
        <is>
          <t>016250</t>
        </is>
      </c>
      <c r="C526" t="inlineStr">
        <is>
          <t>자산총계</t>
        </is>
      </c>
      <c r="D526" t="inlineStr">
        <is>
          <t>당기말</t>
        </is>
      </c>
      <c r="E526" s="3" t="n">
        <v>1407804535265</v>
      </c>
      <c r="F526" t="inlineStr">
        <is>
          <t>id</t>
        </is>
      </c>
      <c r="G526" t="inlineStr">
        <is>
          <t>ifrs-full_Assets</t>
        </is>
      </c>
      <c r="H526" t="inlineStr">
        <is>
          <t>자산총계</t>
        </is>
      </c>
      <c r="I526" t="inlineStr">
        <is>
          <t>20260814000203</t>
        </is>
      </c>
      <c r="J526" s="4" t="inlineStr">
        <is>
          <t>열기</t>
        </is>
      </c>
    </row>
    <row r="527">
      <c r="A527" t="inlineStr">
        <is>
          <t>SGC E&amp;C</t>
        </is>
      </c>
      <c r="B527" t="inlineStr">
        <is>
          <t>016250</t>
        </is>
      </c>
      <c r="C527" t="inlineStr">
        <is>
          <t>자산총계</t>
        </is>
      </c>
      <c r="D527" t="inlineStr">
        <is>
          <t>전년 동기말</t>
        </is>
      </c>
      <c r="E527" s="3" t="n">
        <v>1315063409627</v>
      </c>
      <c r="F527" t="inlineStr"/>
      <c r="I527" t="inlineStr">
        <is>
          <t>20250904000348</t>
        </is>
      </c>
      <c r="J527" s="4" t="inlineStr">
        <is>
          <t>열기</t>
        </is>
      </c>
    </row>
    <row r="528">
      <c r="A528" t="inlineStr">
        <is>
          <t>SGC E&amp;C</t>
        </is>
      </c>
      <c r="B528" t="inlineStr">
        <is>
          <t>016250</t>
        </is>
      </c>
      <c r="C528" t="inlineStr">
        <is>
          <t>이자부부채</t>
        </is>
      </c>
      <c r="D528" t="inlineStr">
        <is>
          <t>당기말</t>
        </is>
      </c>
      <c r="E528" s="3" t="n">
        <v>648627714602</v>
      </c>
      <c r="F528" t="inlineStr">
        <is>
          <t>id</t>
        </is>
      </c>
      <c r="G528" t="inlineStr">
        <is>
          <t>ifrs-full_CurrentBorrowingsAndCurrentPortionOfNoncurrentBorrowings + ifrs-full_CurrentLeaseLiabilities + ifrs-full_LongtermBorrowings + ifrs-full_NoncurrentLeaseLiabilities</t>
        </is>
      </c>
      <c r="H528" t="inlineStr">
        <is>
          <t>차입금 및 사채 + 유동 리스부채 + 비유동 차입금(사채 포함)의 비유동성 부분 + 비유동 리스부채</t>
        </is>
      </c>
      <c r="I528" t="inlineStr">
        <is>
          <t>20260814000203</t>
        </is>
      </c>
      <c r="J528" s="4" t="inlineStr">
        <is>
          <t>열기</t>
        </is>
      </c>
    </row>
    <row r="529">
      <c r="A529" t="inlineStr">
        <is>
          <t>SGC E&amp;C</t>
        </is>
      </c>
      <c r="B529" t="inlineStr">
        <is>
          <t>016250</t>
        </is>
      </c>
      <c r="C529" t="inlineStr">
        <is>
          <t>이자부부채</t>
        </is>
      </c>
      <c r="D529" t="inlineStr">
        <is>
          <t>전년 동기말</t>
        </is>
      </c>
      <c r="E529" s="3" t="n">
        <v>548275378392</v>
      </c>
      <c r="F529" t="inlineStr"/>
      <c r="I529" t="inlineStr">
        <is>
          <t>20250904000348</t>
        </is>
      </c>
      <c r="J529" s="4" t="inlineStr">
        <is>
          <t>열기</t>
        </is>
      </c>
    </row>
    <row r="530">
      <c r="A530" t="inlineStr">
        <is>
          <t>SGC E&amp;C</t>
        </is>
      </c>
      <c r="B530" t="inlineStr">
        <is>
          <t>016250</t>
        </is>
      </c>
      <c r="C530" t="inlineStr">
        <is>
          <t>현금성자산</t>
        </is>
      </c>
      <c r="D530" t="inlineStr">
        <is>
          <t>당기말</t>
        </is>
      </c>
      <c r="E530" s="3" t="n">
        <v>32144719843</v>
      </c>
      <c r="F530" t="inlineStr">
        <is>
          <t>id</t>
        </is>
      </c>
      <c r="G530" t="inlineStr">
        <is>
          <t>ifrs-full_CashAndCashEquivalents</t>
        </is>
      </c>
      <c r="H530" t="inlineStr">
        <is>
          <t>현금및현금성자산</t>
        </is>
      </c>
      <c r="I530" t="inlineStr">
        <is>
          <t>20260814000203</t>
        </is>
      </c>
      <c r="J530" s="4" t="inlineStr">
        <is>
          <t>열기</t>
        </is>
      </c>
    </row>
    <row r="531">
      <c r="A531" t="inlineStr">
        <is>
          <t>SGC E&amp;C</t>
        </is>
      </c>
      <c r="B531" t="inlineStr">
        <is>
          <t>016250</t>
        </is>
      </c>
      <c r="C531" t="inlineStr">
        <is>
          <t>현금성자산</t>
        </is>
      </c>
      <c r="D531" t="inlineStr">
        <is>
          <t>전년 동기말</t>
        </is>
      </c>
      <c r="E531" s="3" t="n">
        <v>78113820317</v>
      </c>
      <c r="F531" t="inlineStr"/>
      <c r="I531" t="inlineStr">
        <is>
          <t>20250904000348</t>
        </is>
      </c>
      <c r="J531" s="4" t="inlineStr">
        <is>
          <t>열기</t>
        </is>
      </c>
    </row>
    <row r="532">
      <c r="A532" t="inlineStr">
        <is>
          <t>SGC E&amp;C</t>
        </is>
      </c>
      <c r="B532" t="inlineStr">
        <is>
          <t>016250</t>
        </is>
      </c>
      <c r="C532" t="inlineStr">
        <is>
          <t>단기금융상품</t>
        </is>
      </c>
      <c r="D532" t="inlineStr">
        <is>
          <t>당기말</t>
        </is>
      </c>
      <c r="E532" s="3" t="n">
        <v>9504115000</v>
      </c>
      <c r="F532" t="inlineStr">
        <is>
          <t>id</t>
        </is>
      </c>
      <c r="G532" t="inlineStr">
        <is>
          <t>ifrs-full_ShorttermDepositsNotClassifiedAsCashEquivalents</t>
        </is>
      </c>
      <c r="H532" t="inlineStr">
        <is>
          <t>단기금융상품</t>
        </is>
      </c>
      <c r="I532" t="inlineStr">
        <is>
          <t>20260814000203</t>
        </is>
      </c>
      <c r="J532" s="4" t="inlineStr">
        <is>
          <t>열기</t>
        </is>
      </c>
    </row>
    <row r="533">
      <c r="A533" t="inlineStr">
        <is>
          <t>SGC E&amp;C</t>
        </is>
      </c>
      <c r="B533" t="inlineStr">
        <is>
          <t>016250</t>
        </is>
      </c>
      <c r="C533" t="inlineStr">
        <is>
          <t>단기금융상품</t>
        </is>
      </c>
      <c r="D533" t="inlineStr">
        <is>
          <t>전년 동기말</t>
        </is>
      </c>
      <c r="E533" s="3" t="n">
        <v>3032074000</v>
      </c>
      <c r="F533" t="inlineStr"/>
      <c r="I533" t="inlineStr">
        <is>
          <t>20250904000348</t>
        </is>
      </c>
      <c r="J533" s="4" t="inlineStr">
        <is>
          <t>열기</t>
        </is>
      </c>
    </row>
    <row r="534">
      <c r="A534" t="inlineStr">
        <is>
          <t>이노뎁</t>
        </is>
      </c>
      <c r="B534" t="inlineStr">
        <is>
          <t>303530</t>
        </is>
      </c>
      <c r="C534" t="inlineStr">
        <is>
          <t>지배주주순이익</t>
        </is>
      </c>
      <c r="D534" t="inlineStr">
        <is>
          <t>당기 YTD</t>
        </is>
      </c>
      <c r="E534" s="3" t="n">
        <v>-3443498622</v>
      </c>
      <c r="F534" t="inlineStr">
        <is>
          <t>id</t>
        </is>
      </c>
      <c r="G534" t="inlineStr">
        <is>
          <t>ifrs-full_ProfitLossAttributableToOwnersOfParent</t>
        </is>
      </c>
      <c r="H534" t="inlineStr">
        <is>
          <t>지배기업의 소유주에게 귀속되는 당기순이익(손실)</t>
        </is>
      </c>
      <c r="I534" t="inlineStr">
        <is>
          <t>20260814003183</t>
        </is>
      </c>
      <c r="J534" s="4" t="inlineStr">
        <is>
          <t>열기</t>
        </is>
      </c>
    </row>
    <row r="535">
      <c r="A535" t="inlineStr">
        <is>
          <t>이노뎁</t>
        </is>
      </c>
      <c r="B535" t="inlineStr">
        <is>
          <t>303530</t>
        </is>
      </c>
      <c r="C535" t="inlineStr">
        <is>
          <t>지배주주순이익</t>
        </is>
      </c>
      <c r="D535" t="inlineStr">
        <is>
          <t>전년 연간</t>
        </is>
      </c>
      <c r="E535" s="3" t="n">
        <v>-3016864876</v>
      </c>
      <c r="F535" t="inlineStr"/>
      <c r="I535" t="inlineStr">
        <is>
          <t>20260323000880</t>
        </is>
      </c>
      <c r="J535" s="4" t="inlineStr">
        <is>
          <t>열기</t>
        </is>
      </c>
    </row>
    <row r="536">
      <c r="A536" t="inlineStr">
        <is>
          <t>이노뎁</t>
        </is>
      </c>
      <c r="B536" t="inlineStr">
        <is>
          <t>303530</t>
        </is>
      </c>
      <c r="C536" t="inlineStr">
        <is>
          <t>지배주주순이익</t>
        </is>
      </c>
      <c r="D536" t="inlineStr">
        <is>
          <t>전년 동기 YTD</t>
        </is>
      </c>
      <c r="E536" s="3" t="n">
        <v>-3195502420</v>
      </c>
      <c r="F536" t="inlineStr"/>
      <c r="I536" t="inlineStr">
        <is>
          <t>20250822000276</t>
        </is>
      </c>
      <c r="J536" s="4" t="inlineStr">
        <is>
          <t>열기</t>
        </is>
      </c>
    </row>
    <row r="537">
      <c r="A537" t="inlineStr">
        <is>
          <t>이노뎁</t>
        </is>
      </c>
      <c r="B537" t="inlineStr">
        <is>
          <t>303530</t>
        </is>
      </c>
      <c r="C537" t="inlineStr">
        <is>
          <t>당기순이익</t>
        </is>
      </c>
      <c r="D537" t="inlineStr">
        <is>
          <t>당기 YTD</t>
        </is>
      </c>
      <c r="E537" s="3" t="n">
        <v>-3443498622</v>
      </c>
      <c r="F537" t="inlineStr">
        <is>
          <t>id</t>
        </is>
      </c>
      <c r="G537" t="inlineStr">
        <is>
          <t>ifrs-full_ProfitLoss</t>
        </is>
      </c>
      <c r="H537" t="inlineStr">
        <is>
          <t>당기순이익(손실)</t>
        </is>
      </c>
      <c r="I537" t="inlineStr">
        <is>
          <t>20260814003183</t>
        </is>
      </c>
      <c r="J537" s="4" t="inlineStr">
        <is>
          <t>열기</t>
        </is>
      </c>
    </row>
    <row r="538">
      <c r="A538" t="inlineStr">
        <is>
          <t>이노뎁</t>
        </is>
      </c>
      <c r="B538" t="inlineStr">
        <is>
          <t>303530</t>
        </is>
      </c>
      <c r="C538" t="inlineStr">
        <is>
          <t>당기순이익</t>
        </is>
      </c>
      <c r="D538" t="inlineStr">
        <is>
          <t>전년 연간</t>
        </is>
      </c>
      <c r="E538" s="3" t="n">
        <v>-3016864876</v>
      </c>
      <c r="F538" t="inlineStr"/>
      <c r="I538" t="inlineStr">
        <is>
          <t>20260323000880</t>
        </is>
      </c>
      <c r="J538" s="4" t="inlineStr">
        <is>
          <t>열기</t>
        </is>
      </c>
    </row>
    <row r="539">
      <c r="A539" t="inlineStr">
        <is>
          <t>이노뎁</t>
        </is>
      </c>
      <c r="B539" t="inlineStr">
        <is>
          <t>303530</t>
        </is>
      </c>
      <c r="C539" t="inlineStr">
        <is>
          <t>당기순이익</t>
        </is>
      </c>
      <c r="D539" t="inlineStr">
        <is>
          <t>전년 동기 YTD</t>
        </is>
      </c>
      <c r="E539" s="3" t="n">
        <v>-3195502420</v>
      </c>
      <c r="F539" t="inlineStr"/>
      <c r="I539" t="inlineStr">
        <is>
          <t>20250822000276</t>
        </is>
      </c>
      <c r="J539" s="4" t="inlineStr">
        <is>
          <t>열기</t>
        </is>
      </c>
    </row>
    <row r="540">
      <c r="A540" t="inlineStr">
        <is>
          <t>이노뎁</t>
        </is>
      </c>
      <c r="B540" t="inlineStr">
        <is>
          <t>303530</t>
        </is>
      </c>
      <c r="C540" t="inlineStr">
        <is>
          <t>매출액</t>
        </is>
      </c>
      <c r="D540" t="inlineStr">
        <is>
          <t>당기 YTD</t>
        </is>
      </c>
      <c r="E540" s="3" t="n">
        <v>27705236543</v>
      </c>
      <c r="F540" t="inlineStr">
        <is>
          <t>id</t>
        </is>
      </c>
      <c r="G540" t="inlineStr">
        <is>
          <t>ifrs-full_Revenue</t>
        </is>
      </c>
      <c r="H540" t="inlineStr">
        <is>
          <t>수익</t>
        </is>
      </c>
      <c r="I540" t="inlineStr">
        <is>
          <t>20260814003183</t>
        </is>
      </c>
      <c r="J540" s="4" t="inlineStr">
        <is>
          <t>열기</t>
        </is>
      </c>
    </row>
    <row r="541">
      <c r="A541" t="inlineStr">
        <is>
          <t>이노뎁</t>
        </is>
      </c>
      <c r="B541" t="inlineStr">
        <is>
          <t>303530</t>
        </is>
      </c>
      <c r="C541" t="inlineStr">
        <is>
          <t>매출액</t>
        </is>
      </c>
      <c r="D541" t="inlineStr">
        <is>
          <t>전년 연간</t>
        </is>
      </c>
      <c r="E541" s="3" t="n">
        <v>70744057088</v>
      </c>
      <c r="F541" t="inlineStr"/>
      <c r="I541" t="inlineStr">
        <is>
          <t>20260323000880</t>
        </is>
      </c>
      <c r="J541" s="4" t="inlineStr">
        <is>
          <t>열기</t>
        </is>
      </c>
    </row>
    <row r="542">
      <c r="A542" t="inlineStr">
        <is>
          <t>이노뎁</t>
        </is>
      </c>
      <c r="B542" t="inlineStr">
        <is>
          <t>303530</t>
        </is>
      </c>
      <c r="C542" t="inlineStr">
        <is>
          <t>매출액</t>
        </is>
      </c>
      <c r="D542" t="inlineStr">
        <is>
          <t>전년 동기 YTD</t>
        </is>
      </c>
      <c r="E542" s="3" t="n">
        <v>29042658789</v>
      </c>
      <c r="F542" t="inlineStr"/>
      <c r="I542" t="inlineStr">
        <is>
          <t>20250822000276</t>
        </is>
      </c>
      <c r="J542" s="4" t="inlineStr">
        <is>
          <t>열기</t>
        </is>
      </c>
    </row>
    <row r="543">
      <c r="A543" t="inlineStr">
        <is>
          <t>이노뎁</t>
        </is>
      </c>
      <c r="B543" t="inlineStr">
        <is>
          <t>303530</t>
        </is>
      </c>
      <c r="C543" t="inlineStr">
        <is>
          <t>매출총이익</t>
        </is>
      </c>
      <c r="D543" t="inlineStr">
        <is>
          <t>당기 YTD</t>
        </is>
      </c>
      <c r="E543" s="3" t="n">
        <v>10796717907</v>
      </c>
      <c r="F543" t="inlineStr">
        <is>
          <t>id</t>
        </is>
      </c>
      <c r="G543" t="inlineStr">
        <is>
          <t>ifrs-full_GrossProfit</t>
        </is>
      </c>
      <c r="H543" t="inlineStr">
        <is>
          <t>매출총이익</t>
        </is>
      </c>
      <c r="I543" t="inlineStr">
        <is>
          <t>20260814003183</t>
        </is>
      </c>
      <c r="J543" s="4" t="inlineStr">
        <is>
          <t>열기</t>
        </is>
      </c>
    </row>
    <row r="544">
      <c r="A544" t="inlineStr">
        <is>
          <t>이노뎁</t>
        </is>
      </c>
      <c r="B544" t="inlineStr">
        <is>
          <t>303530</t>
        </is>
      </c>
      <c r="C544" t="inlineStr">
        <is>
          <t>매출총이익</t>
        </is>
      </c>
      <c r="D544" t="inlineStr">
        <is>
          <t>전년 연간</t>
        </is>
      </c>
      <c r="E544" s="3" t="n">
        <v>28178148564</v>
      </c>
      <c r="F544" t="inlineStr"/>
      <c r="I544" t="inlineStr">
        <is>
          <t>20260323000880</t>
        </is>
      </c>
      <c r="J544" s="4" t="inlineStr">
        <is>
          <t>열기</t>
        </is>
      </c>
    </row>
    <row r="545">
      <c r="A545" t="inlineStr">
        <is>
          <t>이노뎁</t>
        </is>
      </c>
      <c r="B545" t="inlineStr">
        <is>
          <t>303530</t>
        </is>
      </c>
      <c r="C545" t="inlineStr">
        <is>
          <t>매출총이익</t>
        </is>
      </c>
      <c r="D545" t="inlineStr">
        <is>
          <t>전년 동기 YTD</t>
        </is>
      </c>
      <c r="E545" s="3" t="n">
        <v>12340485206</v>
      </c>
      <c r="F545" t="inlineStr"/>
      <c r="I545" t="inlineStr">
        <is>
          <t>20250822000276</t>
        </is>
      </c>
      <c r="J545" s="4" t="inlineStr">
        <is>
          <t>열기</t>
        </is>
      </c>
    </row>
    <row r="546">
      <c r="A546" t="inlineStr">
        <is>
          <t>이노뎁</t>
        </is>
      </c>
      <c r="B546" t="inlineStr">
        <is>
          <t>303530</t>
        </is>
      </c>
      <c r="C546" t="inlineStr">
        <is>
          <t>영업이익</t>
        </is>
      </c>
      <c r="D546" t="inlineStr">
        <is>
          <t>당기 YTD</t>
        </is>
      </c>
      <c r="E546" s="3" t="n">
        <v>-4250136924</v>
      </c>
      <c r="F546" t="inlineStr">
        <is>
          <t>id</t>
        </is>
      </c>
      <c r="G546" t="inlineStr">
        <is>
          <t>dart_OperatingIncomeLoss</t>
        </is>
      </c>
      <c r="H546" t="inlineStr">
        <is>
          <t>영업이익(손실)</t>
        </is>
      </c>
      <c r="I546" t="inlineStr">
        <is>
          <t>20260814003183</t>
        </is>
      </c>
      <c r="J546" s="4" t="inlineStr">
        <is>
          <t>열기</t>
        </is>
      </c>
    </row>
    <row r="547">
      <c r="A547" t="inlineStr">
        <is>
          <t>이노뎁</t>
        </is>
      </c>
      <c r="B547" t="inlineStr">
        <is>
          <t>303530</t>
        </is>
      </c>
      <c r="C547" t="inlineStr">
        <is>
          <t>영업이익</t>
        </is>
      </c>
      <c r="D547" t="inlineStr">
        <is>
          <t>전년 연간</t>
        </is>
      </c>
      <c r="E547" s="3" t="n">
        <v>-2896673174</v>
      </c>
      <c r="F547" t="inlineStr"/>
      <c r="I547" t="inlineStr">
        <is>
          <t>20260323000880</t>
        </is>
      </c>
      <c r="J547" s="4" t="inlineStr">
        <is>
          <t>열기</t>
        </is>
      </c>
    </row>
    <row r="548">
      <c r="A548" t="inlineStr">
        <is>
          <t>이노뎁</t>
        </is>
      </c>
      <c r="B548" t="inlineStr">
        <is>
          <t>303530</t>
        </is>
      </c>
      <c r="C548" t="inlineStr">
        <is>
          <t>영업이익</t>
        </is>
      </c>
      <c r="D548" t="inlineStr">
        <is>
          <t>전년 동기 YTD</t>
        </is>
      </c>
      <c r="E548" s="3" t="n">
        <v>-3275943585</v>
      </c>
      <c r="F548" t="inlineStr"/>
      <c r="I548" t="inlineStr">
        <is>
          <t>20250822000276</t>
        </is>
      </c>
      <c r="J548" s="4" t="inlineStr">
        <is>
          <t>열기</t>
        </is>
      </c>
    </row>
    <row r="549">
      <c r="A549" t="inlineStr">
        <is>
          <t>이노뎁</t>
        </is>
      </c>
      <c r="B549" t="inlineStr">
        <is>
          <t>303530</t>
        </is>
      </c>
      <c r="C549" t="inlineStr">
        <is>
          <t>영업현금흐름</t>
        </is>
      </c>
      <c r="D549" t="inlineStr">
        <is>
          <t>당기 YTD</t>
        </is>
      </c>
      <c r="E549" s="3" t="n">
        <v>-1775347795</v>
      </c>
      <c r="F549" t="inlineStr">
        <is>
          <t>id</t>
        </is>
      </c>
      <c r="G549" t="inlineStr">
        <is>
          <t>ifrs-full_CashFlowsFromUsedInOperatingActivities</t>
        </is>
      </c>
      <c r="H549" t="inlineStr">
        <is>
          <t>영업활동현금흐름</t>
        </is>
      </c>
      <c r="I549" t="inlineStr">
        <is>
          <t>20260814003183</t>
        </is>
      </c>
      <c r="J549" s="4" t="inlineStr">
        <is>
          <t>열기</t>
        </is>
      </c>
    </row>
    <row r="550">
      <c r="A550" t="inlineStr">
        <is>
          <t>이노뎁</t>
        </is>
      </c>
      <c r="B550" t="inlineStr">
        <is>
          <t>303530</t>
        </is>
      </c>
      <c r="C550" t="inlineStr">
        <is>
          <t>영업현금흐름</t>
        </is>
      </c>
      <c r="D550" t="inlineStr">
        <is>
          <t>전년 연간</t>
        </is>
      </c>
      <c r="E550" s="3" t="n">
        <v>-4331276242</v>
      </c>
      <c r="F550" t="inlineStr"/>
      <c r="I550" t="inlineStr">
        <is>
          <t>20260323000880</t>
        </is>
      </c>
      <c r="J550" s="4" t="inlineStr">
        <is>
          <t>열기</t>
        </is>
      </c>
    </row>
    <row r="551">
      <c r="A551" t="inlineStr">
        <is>
          <t>이노뎁</t>
        </is>
      </c>
      <c r="B551" t="inlineStr">
        <is>
          <t>303530</t>
        </is>
      </c>
      <c r="C551" t="inlineStr">
        <is>
          <t>영업현금흐름</t>
        </is>
      </c>
      <c r="D551" t="inlineStr">
        <is>
          <t>전년 동기 YTD</t>
        </is>
      </c>
      <c r="E551" s="3" t="n">
        <v>-4021551047</v>
      </c>
      <c r="F551" t="inlineStr"/>
      <c r="I551" t="inlineStr">
        <is>
          <t>20250822000276</t>
        </is>
      </c>
      <c r="J551" s="4" t="inlineStr">
        <is>
          <t>열기</t>
        </is>
      </c>
    </row>
    <row r="552">
      <c r="A552" t="inlineStr">
        <is>
          <t>이노뎁</t>
        </is>
      </c>
      <c r="B552" t="inlineStr">
        <is>
          <t>303530</t>
        </is>
      </c>
      <c r="C552" t="inlineStr">
        <is>
          <t>지배주주자본</t>
        </is>
      </c>
      <c r="D552" t="inlineStr">
        <is>
          <t>당기말</t>
        </is>
      </c>
      <c r="E552" s="3" t="n">
        <v>31130743634</v>
      </c>
      <c r="F552" t="inlineStr">
        <is>
          <t>id</t>
        </is>
      </c>
      <c r="G552" t="inlineStr">
        <is>
          <t>ifrs-full_EquityAttributableToOwnersOfParent</t>
        </is>
      </c>
      <c r="H552" t="inlineStr">
        <is>
          <t>지배기업의 소유주에게 귀속되는 자본</t>
        </is>
      </c>
      <c r="I552" t="inlineStr">
        <is>
          <t>20260814003183</t>
        </is>
      </c>
      <c r="J552" s="4" t="inlineStr">
        <is>
          <t>열기</t>
        </is>
      </c>
    </row>
    <row r="553">
      <c r="A553" t="inlineStr">
        <is>
          <t>이노뎁</t>
        </is>
      </c>
      <c r="B553" t="inlineStr">
        <is>
          <t>303530</t>
        </is>
      </c>
      <c r="C553" t="inlineStr">
        <is>
          <t>지배주주자본</t>
        </is>
      </c>
      <c r="D553" t="inlineStr">
        <is>
          <t>전년 동기말</t>
        </is>
      </c>
      <c r="E553" s="3" t="n">
        <v>34063990681</v>
      </c>
      <c r="F553" t="inlineStr"/>
      <c r="I553" t="inlineStr">
        <is>
          <t>20250822000276</t>
        </is>
      </c>
      <c r="J553" s="4" t="inlineStr">
        <is>
          <t>열기</t>
        </is>
      </c>
    </row>
    <row r="554">
      <c r="A554" t="inlineStr">
        <is>
          <t>이노뎁</t>
        </is>
      </c>
      <c r="B554" t="inlineStr">
        <is>
          <t>303530</t>
        </is>
      </c>
      <c r="C554" t="inlineStr">
        <is>
          <t>자산총계</t>
        </is>
      </c>
      <c r="D554" t="inlineStr">
        <is>
          <t>당기말</t>
        </is>
      </c>
      <c r="E554" s="3" t="n">
        <v>73306183597</v>
      </c>
      <c r="F554" t="inlineStr">
        <is>
          <t>id</t>
        </is>
      </c>
      <c r="G554" t="inlineStr">
        <is>
          <t>ifrs-full_Assets</t>
        </is>
      </c>
      <c r="H554" t="inlineStr">
        <is>
          <t>자산총계</t>
        </is>
      </c>
      <c r="I554" t="inlineStr">
        <is>
          <t>20260814003183</t>
        </is>
      </c>
      <c r="J554" s="4" t="inlineStr">
        <is>
          <t>열기</t>
        </is>
      </c>
    </row>
    <row r="555">
      <c r="A555" t="inlineStr">
        <is>
          <t>이노뎁</t>
        </is>
      </c>
      <c r="B555" t="inlineStr">
        <is>
          <t>303530</t>
        </is>
      </c>
      <c r="C555" t="inlineStr">
        <is>
          <t>자산총계</t>
        </is>
      </c>
      <c r="D555" t="inlineStr">
        <is>
          <t>전년 동기말</t>
        </is>
      </c>
      <c r="E555" s="3" t="n">
        <v>77086244181</v>
      </c>
      <c r="F555" t="inlineStr"/>
      <c r="I555" t="inlineStr">
        <is>
          <t>20250822000276</t>
        </is>
      </c>
      <c r="J555" s="4" t="inlineStr">
        <is>
          <t>열기</t>
        </is>
      </c>
    </row>
    <row r="556">
      <c r="A556" t="inlineStr">
        <is>
          <t>이노뎁</t>
        </is>
      </c>
      <c r="B556" t="inlineStr">
        <is>
          <t>303530</t>
        </is>
      </c>
      <c r="C556" t="inlineStr">
        <is>
          <t>이자부부채</t>
        </is>
      </c>
      <c r="D556" t="inlineStr">
        <is>
          <t>당기말</t>
        </is>
      </c>
      <c r="E556" s="3" t="n">
        <v>20847824679</v>
      </c>
      <c r="F556" t="inlineStr">
        <is>
          <t>pattern</t>
        </is>
      </c>
      <c r="G556" t="inlineStr">
        <is>
          <t>-표준계정코드 미사용- + -표준계정코드 미사용- + -표준계정코드 미사용-</t>
        </is>
      </c>
      <c r="H556" t="inlineStr">
        <is>
          <t>유동성장기차입금 + 단기차입금 + 장기차입금</t>
        </is>
      </c>
      <c r="I556" t="inlineStr">
        <is>
          <t>20260814003183</t>
        </is>
      </c>
      <c r="J556" s="4" t="inlineStr">
        <is>
          <t>열기</t>
        </is>
      </c>
    </row>
    <row r="557">
      <c r="A557" t="inlineStr">
        <is>
          <t>이노뎁</t>
        </is>
      </c>
      <c r="B557" t="inlineStr">
        <is>
          <t>303530</t>
        </is>
      </c>
      <c r="C557" t="inlineStr">
        <is>
          <t>이자부부채</t>
        </is>
      </c>
      <c r="D557" t="inlineStr">
        <is>
          <t>전년 동기말</t>
        </is>
      </c>
      <c r="E557" s="3" t="n">
        <v>21492336508</v>
      </c>
      <c r="F557" t="inlineStr"/>
      <c r="I557" t="inlineStr">
        <is>
          <t>20250822000276</t>
        </is>
      </c>
      <c r="J557" s="4" t="inlineStr">
        <is>
          <t>열기</t>
        </is>
      </c>
    </row>
    <row r="558">
      <c r="A558" t="inlineStr">
        <is>
          <t>이노뎁</t>
        </is>
      </c>
      <c r="B558" t="inlineStr">
        <is>
          <t>303530</t>
        </is>
      </c>
      <c r="C558" t="inlineStr">
        <is>
          <t>현금성자산</t>
        </is>
      </c>
      <c r="D558" t="inlineStr">
        <is>
          <t>당기말</t>
        </is>
      </c>
      <c r="E558" s="3" t="n">
        <v>13718005981</v>
      </c>
      <c r="F558" t="inlineStr">
        <is>
          <t>id</t>
        </is>
      </c>
      <c r="G558" t="inlineStr">
        <is>
          <t>ifrs-full_CashAndCashEquivalents</t>
        </is>
      </c>
      <c r="H558" t="inlineStr">
        <is>
          <t>현금및현금성자산</t>
        </is>
      </c>
      <c r="I558" t="inlineStr">
        <is>
          <t>20260814003183</t>
        </is>
      </c>
      <c r="J558" s="4" t="inlineStr">
        <is>
          <t>열기</t>
        </is>
      </c>
    </row>
    <row r="559">
      <c r="A559" t="inlineStr">
        <is>
          <t>이노뎁</t>
        </is>
      </c>
      <c r="B559" t="inlineStr">
        <is>
          <t>303530</t>
        </is>
      </c>
      <c r="C559" t="inlineStr">
        <is>
          <t>현금성자산</t>
        </is>
      </c>
      <c r="D559" t="inlineStr">
        <is>
          <t>전년 동기말</t>
        </is>
      </c>
      <c r="E559" s="3" t="n">
        <v>16851760850</v>
      </c>
      <c r="F559" t="inlineStr"/>
      <c r="I559" t="inlineStr">
        <is>
          <t>20250822000276</t>
        </is>
      </c>
      <c r="J559" s="4" t="inlineStr">
        <is>
          <t>열기</t>
        </is>
      </c>
    </row>
    <row r="560">
      <c r="A560" t="inlineStr">
        <is>
          <t>이노뎁</t>
        </is>
      </c>
      <c r="B560" t="inlineStr">
        <is>
          <t>303530</t>
        </is>
      </c>
      <c r="C560" t="inlineStr">
        <is>
          <t>단기금융상품</t>
        </is>
      </c>
      <c r="D560" t="inlineStr">
        <is>
          <t>당기말</t>
        </is>
      </c>
      <c r="E560" s="3" t="n">
        <v>0</v>
      </c>
      <c r="F560" t="inlineStr">
        <is>
          <t>zero_default</t>
        </is>
      </c>
      <c r="I560" t="inlineStr">
        <is>
          <t>20260814003183</t>
        </is>
      </c>
      <c r="J560" s="4" t="inlineStr">
        <is>
          <t>열기</t>
        </is>
      </c>
    </row>
    <row r="561">
      <c r="A561" t="inlineStr">
        <is>
          <t>이노뎁</t>
        </is>
      </c>
      <c r="B561" t="inlineStr">
        <is>
          <t>303530</t>
        </is>
      </c>
      <c r="C561" t="inlineStr">
        <is>
          <t>단기금융상품</t>
        </is>
      </c>
      <c r="D561" t="inlineStr">
        <is>
          <t>전년 동기말</t>
        </is>
      </c>
      <c r="E561" s="3" t="n">
        <v>0</v>
      </c>
      <c r="F561" t="inlineStr"/>
      <c r="I561" t="inlineStr">
        <is>
          <t>20250822000276</t>
        </is>
      </c>
      <c r="J561" s="4" t="inlineStr">
        <is>
          <t>열기</t>
        </is>
      </c>
    </row>
    <row r="562">
      <c r="A562" t="inlineStr">
        <is>
          <t>아모센스</t>
        </is>
      </c>
      <c r="B562" t="inlineStr">
        <is>
          <t>357580</t>
        </is>
      </c>
      <c r="C562" t="inlineStr">
        <is>
          <t>지배주주순이익</t>
        </is>
      </c>
      <c r="D562" t="inlineStr">
        <is>
          <t>당기 YTD</t>
        </is>
      </c>
      <c r="E562" s="3" t="n">
        <v>-1424637813</v>
      </c>
      <c r="F562" t="inlineStr">
        <is>
          <t>id</t>
        </is>
      </c>
      <c r="G562" t="inlineStr">
        <is>
          <t>ifrs-full_ProfitLossAttributableToOwnersOfParent</t>
        </is>
      </c>
      <c r="H562" t="inlineStr">
        <is>
          <t>지배기업 소유주지분</t>
        </is>
      </c>
      <c r="I562" t="inlineStr">
        <is>
          <t>20260814002858</t>
        </is>
      </c>
      <c r="J562" s="4" t="inlineStr">
        <is>
          <t>열기</t>
        </is>
      </c>
    </row>
    <row r="563">
      <c r="A563" t="inlineStr">
        <is>
          <t>아모센스</t>
        </is>
      </c>
      <c r="B563" t="inlineStr">
        <is>
          <t>357580</t>
        </is>
      </c>
      <c r="C563" t="inlineStr">
        <is>
          <t>지배주주순이익</t>
        </is>
      </c>
      <c r="D563" t="inlineStr">
        <is>
          <t>전년 연간</t>
        </is>
      </c>
      <c r="E563" s="3" t="n">
        <v>497100618</v>
      </c>
      <c r="F563" t="inlineStr"/>
      <c r="I563" t="inlineStr">
        <is>
          <t>20260316001301</t>
        </is>
      </c>
      <c r="J563" s="4" t="inlineStr">
        <is>
          <t>열기</t>
        </is>
      </c>
    </row>
    <row r="564">
      <c r="A564" t="inlineStr">
        <is>
          <t>아모센스</t>
        </is>
      </c>
      <c r="B564" t="inlineStr">
        <is>
          <t>357580</t>
        </is>
      </c>
      <c r="C564" t="inlineStr">
        <is>
          <t>지배주주순이익</t>
        </is>
      </c>
      <c r="D564" t="inlineStr">
        <is>
          <t>전년 동기 YTD</t>
        </is>
      </c>
      <c r="E564" s="3" t="n">
        <v>1094158145</v>
      </c>
      <c r="F564" t="inlineStr"/>
      <c r="I564" t="inlineStr">
        <is>
          <t>20250814002539</t>
        </is>
      </c>
      <c r="J564" s="4" t="inlineStr">
        <is>
          <t>열기</t>
        </is>
      </c>
    </row>
    <row r="565">
      <c r="A565" t="inlineStr">
        <is>
          <t>아모센스</t>
        </is>
      </c>
      <c r="B565" t="inlineStr">
        <is>
          <t>357580</t>
        </is>
      </c>
      <c r="C565" t="inlineStr">
        <is>
          <t>당기순이익</t>
        </is>
      </c>
      <c r="D565" t="inlineStr">
        <is>
          <t>당기 YTD</t>
        </is>
      </c>
      <c r="E565" s="3" t="n">
        <v>-1424637813</v>
      </c>
      <c r="F565" t="inlineStr">
        <is>
          <t>id</t>
        </is>
      </c>
      <c r="G565" t="inlineStr">
        <is>
          <t>ifrs-full_ProfitLoss</t>
        </is>
      </c>
      <c r="H565" t="inlineStr">
        <is>
          <t>당기순이익(손실)</t>
        </is>
      </c>
      <c r="I565" t="inlineStr">
        <is>
          <t>20260814002858</t>
        </is>
      </c>
      <c r="J565" s="4" t="inlineStr">
        <is>
          <t>열기</t>
        </is>
      </c>
    </row>
    <row r="566">
      <c r="A566" t="inlineStr">
        <is>
          <t>아모센스</t>
        </is>
      </c>
      <c r="B566" t="inlineStr">
        <is>
          <t>357580</t>
        </is>
      </c>
      <c r="C566" t="inlineStr">
        <is>
          <t>당기순이익</t>
        </is>
      </c>
      <c r="D566" t="inlineStr">
        <is>
          <t>전년 연간</t>
        </is>
      </c>
      <c r="E566" s="3" t="n">
        <v>497100618</v>
      </c>
      <c r="F566" t="inlineStr"/>
      <c r="I566" t="inlineStr">
        <is>
          <t>20260316001301</t>
        </is>
      </c>
      <c r="J566" s="4" t="inlineStr">
        <is>
          <t>열기</t>
        </is>
      </c>
    </row>
    <row r="567">
      <c r="A567" t="inlineStr">
        <is>
          <t>아모센스</t>
        </is>
      </c>
      <c r="B567" t="inlineStr">
        <is>
          <t>357580</t>
        </is>
      </c>
      <c r="C567" t="inlineStr">
        <is>
          <t>당기순이익</t>
        </is>
      </c>
      <c r="D567" t="inlineStr">
        <is>
          <t>전년 동기 YTD</t>
        </is>
      </c>
      <c r="E567" s="3" t="n">
        <v>1094158145</v>
      </c>
      <c r="F567" t="inlineStr"/>
      <c r="I567" t="inlineStr">
        <is>
          <t>20250814002539</t>
        </is>
      </c>
      <c r="J567" s="4" t="inlineStr">
        <is>
          <t>열기</t>
        </is>
      </c>
    </row>
    <row r="568">
      <c r="A568" t="inlineStr">
        <is>
          <t>아모센스</t>
        </is>
      </c>
      <c r="B568" t="inlineStr">
        <is>
          <t>357580</t>
        </is>
      </c>
      <c r="C568" t="inlineStr">
        <is>
          <t>매출액</t>
        </is>
      </c>
      <c r="D568" t="inlineStr">
        <is>
          <t>당기 YTD</t>
        </is>
      </c>
      <c r="E568" s="3" t="n">
        <v>55003233082</v>
      </c>
      <c r="F568" t="inlineStr">
        <is>
          <t>id</t>
        </is>
      </c>
      <c r="G568" t="inlineStr">
        <is>
          <t>ifrs-full_Revenue</t>
        </is>
      </c>
      <c r="H568" t="inlineStr">
        <is>
          <t>매출액</t>
        </is>
      </c>
      <c r="I568" t="inlineStr">
        <is>
          <t>20260814002858</t>
        </is>
      </c>
      <c r="J568" s="4" t="inlineStr">
        <is>
          <t>열기</t>
        </is>
      </c>
    </row>
    <row r="569">
      <c r="A569" t="inlineStr">
        <is>
          <t>아모센스</t>
        </is>
      </c>
      <c r="B569" t="inlineStr">
        <is>
          <t>357580</t>
        </is>
      </c>
      <c r="C569" t="inlineStr">
        <is>
          <t>매출액</t>
        </is>
      </c>
      <c r="D569" t="inlineStr">
        <is>
          <t>전년 연간</t>
        </is>
      </c>
      <c r="E569" s="3" t="n">
        <v>122140313384</v>
      </c>
      <c r="F569" t="inlineStr"/>
      <c r="I569" t="inlineStr">
        <is>
          <t>20260316001301</t>
        </is>
      </c>
      <c r="J569" s="4" t="inlineStr">
        <is>
          <t>열기</t>
        </is>
      </c>
    </row>
    <row r="570">
      <c r="A570" t="inlineStr">
        <is>
          <t>아모센스</t>
        </is>
      </c>
      <c r="B570" t="inlineStr">
        <is>
          <t>357580</t>
        </is>
      </c>
      <c r="C570" t="inlineStr">
        <is>
          <t>매출액</t>
        </is>
      </c>
      <c r="D570" t="inlineStr">
        <is>
          <t>전년 동기 YTD</t>
        </is>
      </c>
      <c r="E570" s="3" t="n">
        <v>60210779073</v>
      </c>
      <c r="F570" t="inlineStr"/>
      <c r="I570" t="inlineStr">
        <is>
          <t>20250814002539</t>
        </is>
      </c>
      <c r="J570" s="4" t="inlineStr">
        <is>
          <t>열기</t>
        </is>
      </c>
    </row>
    <row r="571">
      <c r="A571" t="inlineStr">
        <is>
          <t>아모센스</t>
        </is>
      </c>
      <c r="B571" t="inlineStr">
        <is>
          <t>357580</t>
        </is>
      </c>
      <c r="C571" t="inlineStr">
        <is>
          <t>매출총이익</t>
        </is>
      </c>
      <c r="D571" t="inlineStr">
        <is>
          <t>당기 YTD</t>
        </is>
      </c>
      <c r="E571" s="3" t="n">
        <v>12398363051</v>
      </c>
      <c r="F571" t="inlineStr">
        <is>
          <t>id</t>
        </is>
      </c>
      <c r="G571" t="inlineStr">
        <is>
          <t>ifrs-full_GrossProfit</t>
        </is>
      </c>
      <c r="H571" t="inlineStr">
        <is>
          <t>매출총이익</t>
        </is>
      </c>
      <c r="I571" t="inlineStr">
        <is>
          <t>20260814002858</t>
        </is>
      </c>
      <c r="J571" s="4" t="inlineStr">
        <is>
          <t>열기</t>
        </is>
      </c>
    </row>
    <row r="572">
      <c r="A572" t="inlineStr">
        <is>
          <t>아모센스</t>
        </is>
      </c>
      <c r="B572" t="inlineStr">
        <is>
          <t>357580</t>
        </is>
      </c>
      <c r="C572" t="inlineStr">
        <is>
          <t>매출총이익</t>
        </is>
      </c>
      <c r="D572" t="inlineStr">
        <is>
          <t>전년 연간</t>
        </is>
      </c>
      <c r="E572" s="3" t="n">
        <v>29663072385</v>
      </c>
      <c r="F572" t="inlineStr"/>
      <c r="I572" t="inlineStr">
        <is>
          <t>20260316001301</t>
        </is>
      </c>
      <c r="J572" s="4" t="inlineStr">
        <is>
          <t>열기</t>
        </is>
      </c>
    </row>
    <row r="573">
      <c r="A573" t="inlineStr">
        <is>
          <t>아모센스</t>
        </is>
      </c>
      <c r="B573" t="inlineStr">
        <is>
          <t>357580</t>
        </is>
      </c>
      <c r="C573" t="inlineStr">
        <is>
          <t>매출총이익</t>
        </is>
      </c>
      <c r="D573" t="inlineStr">
        <is>
          <t>전년 동기 YTD</t>
        </is>
      </c>
      <c r="E573" s="3" t="n">
        <v>13796457475</v>
      </c>
      <c r="F573" t="inlineStr"/>
      <c r="I573" t="inlineStr">
        <is>
          <t>20250814002539</t>
        </is>
      </c>
      <c r="J573" s="4" t="inlineStr">
        <is>
          <t>열기</t>
        </is>
      </c>
    </row>
    <row r="574">
      <c r="A574" t="inlineStr">
        <is>
          <t>아모센스</t>
        </is>
      </c>
      <c r="B574" t="inlineStr">
        <is>
          <t>357580</t>
        </is>
      </c>
      <c r="C574" t="inlineStr">
        <is>
          <t>영업이익</t>
        </is>
      </c>
      <c r="D574" t="inlineStr">
        <is>
          <t>당기 YTD</t>
        </is>
      </c>
      <c r="E574" s="3" t="n">
        <v>-887333396</v>
      </c>
      <c r="F574" t="inlineStr">
        <is>
          <t>id</t>
        </is>
      </c>
      <c r="G574" t="inlineStr">
        <is>
          <t>dart_OperatingIncomeLoss</t>
        </is>
      </c>
      <c r="H574" t="inlineStr">
        <is>
          <t>영업이익(손실)</t>
        </is>
      </c>
      <c r="I574" t="inlineStr">
        <is>
          <t>20260814002858</t>
        </is>
      </c>
      <c r="J574" s="4" t="inlineStr">
        <is>
          <t>열기</t>
        </is>
      </c>
    </row>
    <row r="575">
      <c r="A575" t="inlineStr">
        <is>
          <t>아모센스</t>
        </is>
      </c>
      <c r="B575" t="inlineStr">
        <is>
          <t>357580</t>
        </is>
      </c>
      <c r="C575" t="inlineStr">
        <is>
          <t>영업이익</t>
        </is>
      </c>
      <c r="D575" t="inlineStr">
        <is>
          <t>전년 연간</t>
        </is>
      </c>
      <c r="E575" s="3" t="n">
        <v>5321549322</v>
      </c>
      <c r="F575" t="inlineStr"/>
      <c r="I575" t="inlineStr">
        <is>
          <t>20260316001301</t>
        </is>
      </c>
      <c r="J575" s="4" t="inlineStr">
        <is>
          <t>열기</t>
        </is>
      </c>
    </row>
    <row r="576">
      <c r="A576" t="inlineStr">
        <is>
          <t>아모센스</t>
        </is>
      </c>
      <c r="B576" t="inlineStr">
        <is>
          <t>357580</t>
        </is>
      </c>
      <c r="C576" t="inlineStr">
        <is>
          <t>영업이익</t>
        </is>
      </c>
      <c r="D576" t="inlineStr">
        <is>
          <t>전년 동기 YTD</t>
        </is>
      </c>
      <c r="E576" s="3" t="n">
        <v>2821486335</v>
      </c>
      <c r="F576" t="inlineStr"/>
      <c r="I576" t="inlineStr">
        <is>
          <t>20250814002539</t>
        </is>
      </c>
      <c r="J576" s="4" t="inlineStr">
        <is>
          <t>열기</t>
        </is>
      </c>
    </row>
    <row r="577">
      <c r="A577" t="inlineStr">
        <is>
          <t>아모센스</t>
        </is>
      </c>
      <c r="B577" t="inlineStr">
        <is>
          <t>357580</t>
        </is>
      </c>
      <c r="C577" t="inlineStr">
        <is>
          <t>영업현금흐름</t>
        </is>
      </c>
      <c r="D577" t="inlineStr">
        <is>
          <t>당기 YTD</t>
        </is>
      </c>
      <c r="E577" s="3" t="n">
        <v>6851205039</v>
      </c>
      <c r="F577" t="inlineStr">
        <is>
          <t>id</t>
        </is>
      </c>
      <c r="G577" t="inlineStr">
        <is>
          <t>ifrs-full_CashFlowsFromUsedInOperatingActivities</t>
        </is>
      </c>
      <c r="H577" t="inlineStr">
        <is>
          <t>영업활동현금흐름</t>
        </is>
      </c>
      <c r="I577" t="inlineStr">
        <is>
          <t>20260814002858</t>
        </is>
      </c>
      <c r="J577" s="4" t="inlineStr">
        <is>
          <t>열기</t>
        </is>
      </c>
    </row>
    <row r="578">
      <c r="A578" t="inlineStr">
        <is>
          <t>아모센스</t>
        </is>
      </c>
      <c r="B578" t="inlineStr">
        <is>
          <t>357580</t>
        </is>
      </c>
      <c r="C578" t="inlineStr">
        <is>
          <t>영업현금흐름</t>
        </is>
      </c>
      <c r="D578" t="inlineStr">
        <is>
          <t>전년 연간</t>
        </is>
      </c>
      <c r="E578" s="3" t="n">
        <v>11384009671</v>
      </c>
      <c r="F578" t="inlineStr"/>
      <c r="I578" t="inlineStr">
        <is>
          <t>20260316001301</t>
        </is>
      </c>
      <c r="J578" s="4" t="inlineStr">
        <is>
          <t>열기</t>
        </is>
      </c>
    </row>
    <row r="579">
      <c r="A579" t="inlineStr">
        <is>
          <t>아모센스</t>
        </is>
      </c>
      <c r="B579" t="inlineStr">
        <is>
          <t>357580</t>
        </is>
      </c>
      <c r="C579" t="inlineStr">
        <is>
          <t>영업현금흐름</t>
        </is>
      </c>
      <c r="D579" t="inlineStr">
        <is>
          <t>전년 동기 YTD</t>
        </is>
      </c>
      <c r="E579" s="3" t="n">
        <v>5396929741</v>
      </c>
      <c r="F579" t="inlineStr"/>
      <c r="I579" t="inlineStr">
        <is>
          <t>20250814002539</t>
        </is>
      </c>
      <c r="J579" s="4" t="inlineStr">
        <is>
          <t>열기</t>
        </is>
      </c>
    </row>
    <row r="580">
      <c r="A580" t="inlineStr">
        <is>
          <t>아모센스</t>
        </is>
      </c>
      <c r="B580" t="inlineStr">
        <is>
          <t>357580</t>
        </is>
      </c>
      <c r="C580" t="inlineStr">
        <is>
          <t>지배주주자본</t>
        </is>
      </c>
      <c r="D580" t="inlineStr">
        <is>
          <t>당기말</t>
        </is>
      </c>
      <c r="E580" s="3" t="n">
        <v>46292674945</v>
      </c>
      <c r="F580" t="inlineStr">
        <is>
          <t>id</t>
        </is>
      </c>
      <c r="G580" t="inlineStr">
        <is>
          <t>ifrs-full_EquityAttributableToOwnersOfParent</t>
        </is>
      </c>
      <c r="H580" t="inlineStr">
        <is>
          <t>지배기업의 소유주에게 귀속되는 자본</t>
        </is>
      </c>
      <c r="I580" t="inlineStr">
        <is>
          <t>20260814002858</t>
        </is>
      </c>
      <c r="J580" s="4" t="inlineStr">
        <is>
          <t>열기</t>
        </is>
      </c>
    </row>
    <row r="581">
      <c r="A581" t="inlineStr">
        <is>
          <t>아모센스</t>
        </is>
      </c>
      <c r="B581" t="inlineStr">
        <is>
          <t>357580</t>
        </is>
      </c>
      <c r="C581" t="inlineStr">
        <is>
          <t>지배주주자본</t>
        </is>
      </c>
      <c r="D581" t="inlineStr">
        <is>
          <t>전년 동기말</t>
        </is>
      </c>
      <c r="E581" s="3" t="n">
        <v>42502521196</v>
      </c>
      <c r="F581" t="inlineStr"/>
      <c r="I581" t="inlineStr">
        <is>
          <t>20250814002539</t>
        </is>
      </c>
      <c r="J581" s="4" t="inlineStr">
        <is>
          <t>열기</t>
        </is>
      </c>
    </row>
    <row r="582">
      <c r="A582" t="inlineStr">
        <is>
          <t>아모센스</t>
        </is>
      </c>
      <c r="B582" t="inlineStr">
        <is>
          <t>357580</t>
        </is>
      </c>
      <c r="C582" t="inlineStr">
        <is>
          <t>자산총계</t>
        </is>
      </c>
      <c r="D582" t="inlineStr">
        <is>
          <t>당기말</t>
        </is>
      </c>
      <c r="E582" s="3" t="n">
        <v>138854748079</v>
      </c>
      <c r="F582" t="inlineStr">
        <is>
          <t>id</t>
        </is>
      </c>
      <c r="G582" t="inlineStr">
        <is>
          <t>ifrs-full_Assets</t>
        </is>
      </c>
      <c r="H582" t="inlineStr">
        <is>
          <t>자산총계</t>
        </is>
      </c>
      <c r="I582" t="inlineStr">
        <is>
          <t>20260814002858</t>
        </is>
      </c>
      <c r="J582" s="4" t="inlineStr">
        <is>
          <t>열기</t>
        </is>
      </c>
    </row>
    <row r="583">
      <c r="A583" t="inlineStr">
        <is>
          <t>아모센스</t>
        </is>
      </c>
      <c r="B583" t="inlineStr">
        <is>
          <t>357580</t>
        </is>
      </c>
      <c r="C583" t="inlineStr">
        <is>
          <t>자산총계</t>
        </is>
      </c>
      <c r="D583" t="inlineStr">
        <is>
          <t>전년 동기말</t>
        </is>
      </c>
      <c r="E583" s="3" t="n">
        <v>146033056367</v>
      </c>
      <c r="F583" t="inlineStr"/>
      <c r="I583" t="inlineStr">
        <is>
          <t>20250814002539</t>
        </is>
      </c>
      <c r="J583" s="4" t="inlineStr">
        <is>
          <t>열기</t>
        </is>
      </c>
    </row>
    <row r="584">
      <c r="A584" t="inlineStr">
        <is>
          <t>아모센스</t>
        </is>
      </c>
      <c r="B584" t="inlineStr">
        <is>
          <t>357580</t>
        </is>
      </c>
      <c r="C584" t="inlineStr">
        <is>
          <t>이자부부채</t>
        </is>
      </c>
      <c r="D584" t="inlineStr">
        <is>
          <t>당기말</t>
        </is>
      </c>
      <c r="E584" s="3" t="n">
        <v>55799728344</v>
      </c>
      <c r="F584" t="inlineStr">
        <is>
          <t>id</t>
        </is>
      </c>
      <c r="G584" t="inlineStr">
        <is>
          <t>ifrs-full_CurrentLeaseLiabilities + ifrs-full_CurrentPortionOfLongtermBorrowings + ifrs-full_ShorttermBorrowings + ifrs-full_NoncurrentLeaseLiabilities + ifrs-full_NoncurrentPortionOfNoncurrentLoansReceived</t>
        </is>
      </c>
      <c r="H584" t="inlineStr">
        <is>
          <t>유동 리스부채 + 비유동차입금의 유동성 대체 부분 + 유동 차입금 + 비유동 리스부채 + 장기차입금</t>
        </is>
      </c>
      <c r="I584" t="inlineStr">
        <is>
          <t>20260814002858</t>
        </is>
      </c>
      <c r="J584" s="4" t="inlineStr">
        <is>
          <t>열기</t>
        </is>
      </c>
    </row>
    <row r="585">
      <c r="A585" t="inlineStr">
        <is>
          <t>아모센스</t>
        </is>
      </c>
      <c r="B585" t="inlineStr">
        <is>
          <t>357580</t>
        </is>
      </c>
      <c r="C585" t="inlineStr">
        <is>
          <t>이자부부채</t>
        </is>
      </c>
      <c r="D585" t="inlineStr">
        <is>
          <t>전년 동기말</t>
        </is>
      </c>
      <c r="E585" s="3" t="n">
        <v>68160200213</v>
      </c>
      <c r="F585" t="inlineStr"/>
      <c r="I585" t="inlineStr">
        <is>
          <t>20250814002539</t>
        </is>
      </c>
      <c r="J585" s="4" t="inlineStr">
        <is>
          <t>열기</t>
        </is>
      </c>
    </row>
    <row r="586">
      <c r="A586" t="inlineStr">
        <is>
          <t>아모센스</t>
        </is>
      </c>
      <c r="B586" t="inlineStr">
        <is>
          <t>357580</t>
        </is>
      </c>
      <c r="C586" t="inlineStr">
        <is>
          <t>현금성자산</t>
        </is>
      </c>
      <c r="D586" t="inlineStr">
        <is>
          <t>당기말</t>
        </is>
      </c>
      <c r="E586" s="3" t="n">
        <v>23180951456</v>
      </c>
      <c r="F586" t="inlineStr">
        <is>
          <t>id</t>
        </is>
      </c>
      <c r="G586" t="inlineStr">
        <is>
          <t>ifrs-full_CashAndCashEquivalents</t>
        </is>
      </c>
      <c r="H586" t="inlineStr">
        <is>
          <t>현금및현금성자산</t>
        </is>
      </c>
      <c r="I586" t="inlineStr">
        <is>
          <t>20260814002858</t>
        </is>
      </c>
      <c r="J586" s="4" t="inlineStr">
        <is>
          <t>열기</t>
        </is>
      </c>
    </row>
    <row r="587">
      <c r="A587" t="inlineStr">
        <is>
          <t>아모센스</t>
        </is>
      </c>
      <c r="B587" t="inlineStr">
        <is>
          <t>357580</t>
        </is>
      </c>
      <c r="C587" t="inlineStr">
        <is>
          <t>현금성자산</t>
        </is>
      </c>
      <c r="D587" t="inlineStr">
        <is>
          <t>전년 동기말</t>
        </is>
      </c>
      <c r="E587" s="3" t="n">
        <v>19847839079</v>
      </c>
      <c r="F587" t="inlineStr"/>
      <c r="I587" t="inlineStr">
        <is>
          <t>20250814002539</t>
        </is>
      </c>
      <c r="J587" s="4" t="inlineStr">
        <is>
          <t>열기</t>
        </is>
      </c>
    </row>
    <row r="588">
      <c r="A588" t="inlineStr">
        <is>
          <t>아모센스</t>
        </is>
      </c>
      <c r="B588" t="inlineStr">
        <is>
          <t>357580</t>
        </is>
      </c>
      <c r="C588" t="inlineStr">
        <is>
          <t>단기금융상품</t>
        </is>
      </c>
      <c r="D588" t="inlineStr">
        <is>
          <t>당기말</t>
        </is>
      </c>
      <c r="E588" s="3" t="n">
        <v>0</v>
      </c>
      <c r="F588" t="inlineStr">
        <is>
          <t>zero_default</t>
        </is>
      </c>
      <c r="I588" t="inlineStr">
        <is>
          <t>20260814002858</t>
        </is>
      </c>
      <c r="J588" s="4" t="inlineStr">
        <is>
          <t>열기</t>
        </is>
      </c>
    </row>
    <row r="589">
      <c r="A589" t="inlineStr">
        <is>
          <t>아모센스</t>
        </is>
      </c>
      <c r="B589" t="inlineStr">
        <is>
          <t>357580</t>
        </is>
      </c>
      <c r="C589" t="inlineStr">
        <is>
          <t>단기금융상품</t>
        </is>
      </c>
      <c r="D589" t="inlineStr">
        <is>
          <t>전년 동기말</t>
        </is>
      </c>
      <c r="E589" s="3" t="n">
        <v>0</v>
      </c>
      <c r="F589" t="inlineStr"/>
      <c r="I589" t="inlineStr">
        <is>
          <t>20250814002539</t>
        </is>
      </c>
      <c r="J589" s="4" t="inlineStr">
        <is>
          <t>열기</t>
        </is>
      </c>
    </row>
    <row r="590">
      <c r="A590" t="inlineStr">
        <is>
          <t>삼화네트웍스</t>
        </is>
      </c>
      <c r="B590" t="inlineStr">
        <is>
          <t>046390</t>
        </is>
      </c>
      <c r="C590" t="inlineStr">
        <is>
          <t>지배주주순이익</t>
        </is>
      </c>
      <c r="D590" t="inlineStr">
        <is>
          <t>당기 YTD</t>
        </is>
      </c>
      <c r="E590" s="3" t="n">
        <v>-2497579973</v>
      </c>
      <c r="F590" t="inlineStr">
        <is>
          <t>id</t>
        </is>
      </c>
      <c r="G590" t="inlineStr">
        <is>
          <t>ifrs-full_ProfitLossAttributableToOwnersOfParent</t>
        </is>
      </c>
      <c r="H590" t="inlineStr">
        <is>
          <t>지배기업의 소유주에게 귀속되는 당기순이익(손실)</t>
        </is>
      </c>
      <c r="I590" t="inlineStr">
        <is>
          <t>20260814000691</t>
        </is>
      </c>
      <c r="J590" s="4" t="inlineStr">
        <is>
          <t>열기</t>
        </is>
      </c>
    </row>
    <row r="591">
      <c r="A591" t="inlineStr">
        <is>
          <t>삼화네트웍스</t>
        </is>
      </c>
      <c r="B591" t="inlineStr">
        <is>
          <t>046390</t>
        </is>
      </c>
      <c r="C591" t="inlineStr">
        <is>
          <t>지배주주순이익</t>
        </is>
      </c>
      <c r="D591" t="inlineStr">
        <is>
          <t>전년 연간</t>
        </is>
      </c>
      <c r="E591" s="3" t="n">
        <v>-872120915</v>
      </c>
      <c r="F591" t="inlineStr"/>
      <c r="I591" t="inlineStr">
        <is>
          <t>20260318000485</t>
        </is>
      </c>
      <c r="J591" s="4" t="inlineStr">
        <is>
          <t>열기</t>
        </is>
      </c>
    </row>
    <row r="592">
      <c r="A592" t="inlineStr">
        <is>
          <t>삼화네트웍스</t>
        </is>
      </c>
      <c r="B592" t="inlineStr">
        <is>
          <t>046390</t>
        </is>
      </c>
      <c r="C592" t="inlineStr">
        <is>
          <t>지배주주순이익</t>
        </is>
      </c>
      <c r="D592" t="inlineStr">
        <is>
          <t>전년 동기 YTD</t>
        </is>
      </c>
      <c r="E592" s="3" t="n">
        <v>-2422887188</v>
      </c>
      <c r="F592" t="inlineStr"/>
      <c r="I592" t="inlineStr">
        <is>
          <t>20250814001480</t>
        </is>
      </c>
      <c r="J592" s="4" t="inlineStr">
        <is>
          <t>열기</t>
        </is>
      </c>
    </row>
    <row r="593">
      <c r="A593" t="inlineStr">
        <is>
          <t>삼화네트웍스</t>
        </is>
      </c>
      <c r="B593" t="inlineStr">
        <is>
          <t>046390</t>
        </is>
      </c>
      <c r="C593" t="inlineStr">
        <is>
          <t>당기순이익</t>
        </is>
      </c>
      <c r="D593" t="inlineStr">
        <is>
          <t>당기 YTD</t>
        </is>
      </c>
      <c r="E593" s="3" t="n">
        <v>-2497583331</v>
      </c>
      <c r="F593" t="inlineStr">
        <is>
          <t>id</t>
        </is>
      </c>
      <c r="G593" t="inlineStr">
        <is>
          <t>ifrs-full_ProfitLoss</t>
        </is>
      </c>
      <c r="H593" t="inlineStr">
        <is>
          <t>당기순이익(손실)</t>
        </is>
      </c>
      <c r="I593" t="inlineStr">
        <is>
          <t>20260814000691</t>
        </is>
      </c>
      <c r="J593" s="4" t="inlineStr">
        <is>
          <t>열기</t>
        </is>
      </c>
    </row>
    <row r="594">
      <c r="A594" t="inlineStr">
        <is>
          <t>삼화네트웍스</t>
        </is>
      </c>
      <c r="B594" t="inlineStr">
        <is>
          <t>046390</t>
        </is>
      </c>
      <c r="C594" t="inlineStr">
        <is>
          <t>당기순이익</t>
        </is>
      </c>
      <c r="D594" t="inlineStr">
        <is>
          <t>전년 연간</t>
        </is>
      </c>
      <c r="E594" s="3" t="n">
        <v>-872142430</v>
      </c>
      <c r="F594" t="inlineStr"/>
      <c r="I594" t="inlineStr">
        <is>
          <t>20260318000485</t>
        </is>
      </c>
      <c r="J594" s="4" t="inlineStr">
        <is>
          <t>열기</t>
        </is>
      </c>
    </row>
    <row r="595">
      <c r="A595" t="inlineStr">
        <is>
          <t>삼화네트웍스</t>
        </is>
      </c>
      <c r="B595" t="inlineStr">
        <is>
          <t>046390</t>
        </is>
      </c>
      <c r="C595" t="inlineStr">
        <is>
          <t>당기순이익</t>
        </is>
      </c>
      <c r="D595" t="inlineStr">
        <is>
          <t>전년 동기 YTD</t>
        </is>
      </c>
      <c r="E595" s="3" t="n">
        <v>-2422895804</v>
      </c>
      <c r="F595" t="inlineStr"/>
      <c r="I595" t="inlineStr">
        <is>
          <t>20250814001480</t>
        </is>
      </c>
      <c r="J595" s="4" t="inlineStr">
        <is>
          <t>열기</t>
        </is>
      </c>
    </row>
    <row r="596">
      <c r="A596" t="inlineStr">
        <is>
          <t>삼화네트웍스</t>
        </is>
      </c>
      <c r="B596" t="inlineStr">
        <is>
          <t>046390</t>
        </is>
      </c>
      <c r="C596" t="inlineStr">
        <is>
          <t>매출액</t>
        </is>
      </c>
      <c r="D596" t="inlineStr">
        <is>
          <t>당기 YTD</t>
        </is>
      </c>
      <c r="E596" s="3" t="n">
        <v>744534997</v>
      </c>
      <c r="F596" t="inlineStr">
        <is>
          <t>id</t>
        </is>
      </c>
      <c r="G596" t="inlineStr">
        <is>
          <t>ifrs-full_Revenue</t>
        </is>
      </c>
      <c r="H596" t="inlineStr">
        <is>
          <t>매출액</t>
        </is>
      </c>
      <c r="I596" t="inlineStr">
        <is>
          <t>20260814000691</t>
        </is>
      </c>
      <c r="J596" s="4" t="inlineStr">
        <is>
          <t>열기</t>
        </is>
      </c>
    </row>
    <row r="597">
      <c r="A597" t="inlineStr">
        <is>
          <t>삼화네트웍스</t>
        </is>
      </c>
      <c r="B597" t="inlineStr">
        <is>
          <t>046390</t>
        </is>
      </c>
      <c r="C597" t="inlineStr">
        <is>
          <t>매출액</t>
        </is>
      </c>
      <c r="D597" t="inlineStr">
        <is>
          <t>전년 연간</t>
        </is>
      </c>
      <c r="E597" s="3" t="n">
        <v>37266321862</v>
      </c>
      <c r="F597" t="inlineStr"/>
      <c r="I597" t="inlineStr">
        <is>
          <t>20260318000485</t>
        </is>
      </c>
      <c r="J597" s="4" t="inlineStr">
        <is>
          <t>열기</t>
        </is>
      </c>
    </row>
    <row r="598">
      <c r="A598" t="inlineStr">
        <is>
          <t>삼화네트웍스</t>
        </is>
      </c>
      <c r="B598" t="inlineStr">
        <is>
          <t>046390</t>
        </is>
      </c>
      <c r="C598" t="inlineStr">
        <is>
          <t>매출액</t>
        </is>
      </c>
      <c r="D598" t="inlineStr">
        <is>
          <t>전년 동기 YTD</t>
        </is>
      </c>
      <c r="E598" s="3" t="n">
        <v>1276511480</v>
      </c>
      <c r="F598" t="inlineStr"/>
      <c r="I598" t="inlineStr">
        <is>
          <t>20250814001480</t>
        </is>
      </c>
      <c r="J598" s="4" t="inlineStr">
        <is>
          <t>열기</t>
        </is>
      </c>
    </row>
    <row r="599">
      <c r="A599" t="inlineStr">
        <is>
          <t>삼화네트웍스</t>
        </is>
      </c>
      <c r="B599" t="inlineStr">
        <is>
          <t>046390</t>
        </is>
      </c>
      <c r="C599" t="inlineStr">
        <is>
          <t>매출총이익</t>
        </is>
      </c>
      <c r="D599" t="inlineStr">
        <is>
          <t>당기 YTD</t>
        </is>
      </c>
      <c r="E599" s="3" t="n">
        <v>-1652959861</v>
      </c>
      <c r="F599" t="inlineStr">
        <is>
          <t>id</t>
        </is>
      </c>
      <c r="G599" t="inlineStr">
        <is>
          <t>ifrs-full_GrossProfit</t>
        </is>
      </c>
      <c r="H599" t="inlineStr">
        <is>
          <t>매출총이익</t>
        </is>
      </c>
      <c r="I599" t="inlineStr">
        <is>
          <t>20260814000691</t>
        </is>
      </c>
      <c r="J599" s="4" t="inlineStr">
        <is>
          <t>열기</t>
        </is>
      </c>
    </row>
    <row r="600">
      <c r="A600" t="inlineStr">
        <is>
          <t>삼화네트웍스</t>
        </is>
      </c>
      <c r="B600" t="inlineStr">
        <is>
          <t>046390</t>
        </is>
      </c>
      <c r="C600" t="inlineStr">
        <is>
          <t>매출총이익</t>
        </is>
      </c>
      <c r="D600" t="inlineStr">
        <is>
          <t>전년 연간</t>
        </is>
      </c>
      <c r="E600" s="3" t="n">
        <v>2421253850</v>
      </c>
      <c r="F600" t="inlineStr"/>
      <c r="I600" t="inlineStr">
        <is>
          <t>20260318000485</t>
        </is>
      </c>
      <c r="J600" s="4" t="inlineStr">
        <is>
          <t>열기</t>
        </is>
      </c>
    </row>
    <row r="601">
      <c r="A601" t="inlineStr">
        <is>
          <t>삼화네트웍스</t>
        </is>
      </c>
      <c r="B601" t="inlineStr">
        <is>
          <t>046390</t>
        </is>
      </c>
      <c r="C601" t="inlineStr">
        <is>
          <t>매출총이익</t>
        </is>
      </c>
      <c r="D601" t="inlineStr">
        <is>
          <t>전년 동기 YTD</t>
        </is>
      </c>
      <c r="E601" s="3" t="n">
        <v>-1068201584</v>
      </c>
      <c r="F601" t="inlineStr"/>
      <c r="I601" t="inlineStr">
        <is>
          <t>20250814001480</t>
        </is>
      </c>
      <c r="J601" s="4" t="inlineStr">
        <is>
          <t>열기</t>
        </is>
      </c>
    </row>
    <row r="602">
      <c r="A602" t="inlineStr">
        <is>
          <t>삼화네트웍스</t>
        </is>
      </c>
      <c r="B602" t="inlineStr">
        <is>
          <t>046390</t>
        </is>
      </c>
      <c r="C602" t="inlineStr">
        <is>
          <t>영업이익</t>
        </is>
      </c>
      <c r="D602" t="inlineStr">
        <is>
          <t>당기 YTD</t>
        </is>
      </c>
      <c r="E602" s="3" t="n">
        <v>-2731978875</v>
      </c>
      <c r="F602" t="inlineStr">
        <is>
          <t>id</t>
        </is>
      </c>
      <c r="G602" t="inlineStr">
        <is>
          <t>dart_OperatingIncomeLoss</t>
        </is>
      </c>
      <c r="H602" t="inlineStr">
        <is>
          <t>영업이익(손실)</t>
        </is>
      </c>
      <c r="I602" t="inlineStr">
        <is>
          <t>20260814000691</t>
        </is>
      </c>
      <c r="J602" s="4" t="inlineStr">
        <is>
          <t>열기</t>
        </is>
      </c>
    </row>
    <row r="603">
      <c r="A603" t="inlineStr">
        <is>
          <t>삼화네트웍스</t>
        </is>
      </c>
      <c r="B603" t="inlineStr">
        <is>
          <t>046390</t>
        </is>
      </c>
      <c r="C603" t="inlineStr">
        <is>
          <t>영업이익</t>
        </is>
      </c>
      <c r="D603" t="inlineStr">
        <is>
          <t>전년 연간</t>
        </is>
      </c>
      <c r="E603" s="3" t="n">
        <v>-1547996543</v>
      </c>
      <c r="F603" t="inlineStr"/>
      <c r="I603" t="inlineStr">
        <is>
          <t>20260318000485</t>
        </is>
      </c>
      <c r="J603" s="4" t="inlineStr">
        <is>
          <t>열기</t>
        </is>
      </c>
    </row>
    <row r="604">
      <c r="A604" t="inlineStr">
        <is>
          <t>삼화네트웍스</t>
        </is>
      </c>
      <c r="B604" t="inlineStr">
        <is>
          <t>046390</t>
        </is>
      </c>
      <c r="C604" t="inlineStr">
        <is>
          <t>영업이익</t>
        </is>
      </c>
      <c r="D604" t="inlineStr">
        <is>
          <t>전년 동기 YTD</t>
        </is>
      </c>
      <c r="E604" s="3" t="n">
        <v>-2678255694</v>
      </c>
      <c r="F604" t="inlineStr"/>
      <c r="I604" t="inlineStr">
        <is>
          <t>20250814001480</t>
        </is>
      </c>
      <c r="J604" s="4" t="inlineStr">
        <is>
          <t>열기</t>
        </is>
      </c>
    </row>
    <row r="605">
      <c r="A605" t="inlineStr">
        <is>
          <t>삼화네트웍스</t>
        </is>
      </c>
      <c r="B605" t="inlineStr">
        <is>
          <t>046390</t>
        </is>
      </c>
      <c r="C605" t="inlineStr">
        <is>
          <t>영업현금흐름</t>
        </is>
      </c>
      <c r="D605" t="inlineStr">
        <is>
          <t>당기 YTD</t>
        </is>
      </c>
      <c r="E605" s="3" t="n">
        <v>459594058</v>
      </c>
      <c r="F605" t="inlineStr">
        <is>
          <t>id</t>
        </is>
      </c>
      <c r="G605" t="inlineStr">
        <is>
          <t>ifrs-full_CashFlowsFromUsedInOperatingActivities</t>
        </is>
      </c>
      <c r="H605" t="inlineStr">
        <is>
          <t>영업활동현금흐름</t>
        </is>
      </c>
      <c r="I605" t="inlineStr">
        <is>
          <t>20260814000691</t>
        </is>
      </c>
      <c r="J605" s="4" t="inlineStr">
        <is>
          <t>열기</t>
        </is>
      </c>
    </row>
    <row r="606">
      <c r="A606" t="inlineStr">
        <is>
          <t>삼화네트웍스</t>
        </is>
      </c>
      <c r="B606" t="inlineStr">
        <is>
          <t>046390</t>
        </is>
      </c>
      <c r="C606" t="inlineStr">
        <is>
          <t>영업현금흐름</t>
        </is>
      </c>
      <c r="D606" t="inlineStr">
        <is>
          <t>전년 연간</t>
        </is>
      </c>
      <c r="E606" s="3" t="n">
        <v>-1185746283</v>
      </c>
      <c r="F606" t="inlineStr"/>
      <c r="I606" t="inlineStr">
        <is>
          <t>20260318000485</t>
        </is>
      </c>
      <c r="J606" s="4" t="inlineStr">
        <is>
          <t>열기</t>
        </is>
      </c>
    </row>
    <row r="607">
      <c r="A607" t="inlineStr">
        <is>
          <t>삼화네트웍스</t>
        </is>
      </c>
      <c r="B607" t="inlineStr">
        <is>
          <t>046390</t>
        </is>
      </c>
      <c r="C607" t="inlineStr">
        <is>
          <t>영업현금흐름</t>
        </is>
      </c>
      <c r="D607" t="inlineStr">
        <is>
          <t>전년 동기 YTD</t>
        </is>
      </c>
      <c r="E607" s="3" t="n">
        <v>-2927028955</v>
      </c>
      <c r="F607" t="inlineStr"/>
      <c r="I607" t="inlineStr">
        <is>
          <t>20250814001480</t>
        </is>
      </c>
      <c r="J607" s="4" t="inlineStr">
        <is>
          <t>열기</t>
        </is>
      </c>
    </row>
    <row r="608">
      <c r="A608" t="inlineStr">
        <is>
          <t>삼화네트웍스</t>
        </is>
      </c>
      <c r="B608" t="inlineStr">
        <is>
          <t>046390</t>
        </is>
      </c>
      <c r="C608" t="inlineStr">
        <is>
          <t>지배주주자본</t>
        </is>
      </c>
      <c r="D608" t="inlineStr">
        <is>
          <t>당기말</t>
        </is>
      </c>
      <c r="E608" s="3" t="n">
        <v>55388608224</v>
      </c>
      <c r="F608" t="inlineStr">
        <is>
          <t>id</t>
        </is>
      </c>
      <c r="G608" t="inlineStr">
        <is>
          <t>ifrs-full_EquityAttributableToOwnersOfParent</t>
        </is>
      </c>
      <c r="H608" t="inlineStr">
        <is>
          <t>지배기업의 소유주에게 귀속되는 자본</t>
        </is>
      </c>
      <c r="I608" t="inlineStr">
        <is>
          <t>20260814000691</t>
        </is>
      </c>
      <c r="J608" s="4" t="inlineStr">
        <is>
          <t>열기</t>
        </is>
      </c>
    </row>
    <row r="609">
      <c r="A609" t="inlineStr">
        <is>
          <t>삼화네트웍스</t>
        </is>
      </c>
      <c r="B609" t="inlineStr">
        <is>
          <t>046390</t>
        </is>
      </c>
      <c r="C609" t="inlineStr">
        <is>
          <t>지배주주자본</t>
        </is>
      </c>
      <c r="D609" t="inlineStr">
        <is>
          <t>전년 동기말</t>
        </is>
      </c>
      <c r="E609" s="3" t="n">
        <v>56951007815</v>
      </c>
      <c r="F609" t="inlineStr"/>
      <c r="I609" t="inlineStr">
        <is>
          <t>20250814001480</t>
        </is>
      </c>
      <c r="J609" s="4" t="inlineStr">
        <is>
          <t>열기</t>
        </is>
      </c>
    </row>
    <row r="610">
      <c r="A610" t="inlineStr">
        <is>
          <t>삼화네트웍스</t>
        </is>
      </c>
      <c r="B610" t="inlineStr">
        <is>
          <t>046390</t>
        </is>
      </c>
      <c r="C610" t="inlineStr">
        <is>
          <t>자산총계</t>
        </is>
      </c>
      <c r="D610" t="inlineStr">
        <is>
          <t>당기말</t>
        </is>
      </c>
      <c r="E610" s="3" t="n">
        <v>73741167265</v>
      </c>
      <c r="F610" t="inlineStr">
        <is>
          <t>id</t>
        </is>
      </c>
      <c r="G610" t="inlineStr">
        <is>
          <t>ifrs-full_Assets</t>
        </is>
      </c>
      <c r="H610" t="inlineStr">
        <is>
          <t>자산총계</t>
        </is>
      </c>
      <c r="I610" t="inlineStr">
        <is>
          <t>20260814000691</t>
        </is>
      </c>
      <c r="J610" s="4" t="inlineStr">
        <is>
          <t>열기</t>
        </is>
      </c>
    </row>
    <row r="611">
      <c r="A611" t="inlineStr">
        <is>
          <t>삼화네트웍스</t>
        </is>
      </c>
      <c r="B611" t="inlineStr">
        <is>
          <t>046390</t>
        </is>
      </c>
      <c r="C611" t="inlineStr">
        <is>
          <t>자산총계</t>
        </is>
      </c>
      <c r="D611" t="inlineStr">
        <is>
          <t>전년 동기말</t>
        </is>
      </c>
      <c r="E611" s="3" t="n">
        <v>82049594443</v>
      </c>
      <c r="F611" t="inlineStr"/>
      <c r="I611" t="inlineStr">
        <is>
          <t>20250814001480</t>
        </is>
      </c>
      <c r="J611" s="4" t="inlineStr">
        <is>
          <t>열기</t>
        </is>
      </c>
    </row>
    <row r="612">
      <c r="A612" t="inlineStr">
        <is>
          <t>삼화네트웍스</t>
        </is>
      </c>
      <c r="B612" t="inlineStr">
        <is>
          <t>046390</t>
        </is>
      </c>
      <c r="C612" t="inlineStr">
        <is>
          <t>이자부부채</t>
        </is>
      </c>
      <c r="D612" t="inlineStr">
        <is>
          <t>당기말</t>
        </is>
      </c>
      <c r="E612" s="3" t="n">
        <v>670998290</v>
      </c>
      <c r="F612" t="inlineStr">
        <is>
          <t>id</t>
        </is>
      </c>
      <c r="G612" t="inlineStr">
        <is>
          <t>ifrs-full_CurrentLeaseLiabilities + ifrs-full_CurrentPortionOfLongtermBorrowings + ifrs-full_ShorttermBorrowings + ifrs-full_NoncurrentLeaseLiabilities</t>
        </is>
      </c>
      <c r="H612" t="inlineStr">
        <is>
          <t>유동 리스부채 + 비유동차입금(사채 포함)의 유동성 대체 부분 + 유동 차입금(사채 포함) + 리스부채</t>
        </is>
      </c>
      <c r="I612" t="inlineStr">
        <is>
          <t>20260814000691</t>
        </is>
      </c>
      <c r="J612" s="4" t="inlineStr">
        <is>
          <t>열기</t>
        </is>
      </c>
    </row>
    <row r="613">
      <c r="A613" t="inlineStr">
        <is>
          <t>삼화네트웍스</t>
        </is>
      </c>
      <c r="B613" t="inlineStr">
        <is>
          <t>046390</t>
        </is>
      </c>
      <c r="C613" t="inlineStr">
        <is>
          <t>이자부부채</t>
        </is>
      </c>
      <c r="D613" t="inlineStr">
        <is>
          <t>전년 동기말</t>
        </is>
      </c>
      <c r="E613" s="3" t="n">
        <v>928161694</v>
      </c>
      <c r="F613" t="inlineStr"/>
      <c r="I613" t="inlineStr">
        <is>
          <t>20250814001480</t>
        </is>
      </c>
      <c r="J613" s="4" t="inlineStr">
        <is>
          <t>열기</t>
        </is>
      </c>
    </row>
    <row r="614">
      <c r="A614" t="inlineStr">
        <is>
          <t>삼화네트웍스</t>
        </is>
      </c>
      <c r="B614" t="inlineStr">
        <is>
          <t>046390</t>
        </is>
      </c>
      <c r="C614" t="inlineStr">
        <is>
          <t>현금성자산</t>
        </is>
      </c>
      <c r="D614" t="inlineStr">
        <is>
          <t>당기말</t>
        </is>
      </c>
      <c r="E614" s="3" t="n">
        <v>2260458709</v>
      </c>
      <c r="F614" t="inlineStr">
        <is>
          <t>id</t>
        </is>
      </c>
      <c r="G614" t="inlineStr">
        <is>
          <t>ifrs-full_CashAndCashEquivalents</t>
        </is>
      </c>
      <c r="H614" t="inlineStr">
        <is>
          <t>현금및현금성자산</t>
        </is>
      </c>
      <c r="I614" t="inlineStr">
        <is>
          <t>20260814000691</t>
        </is>
      </c>
      <c r="J614" s="4" t="inlineStr">
        <is>
          <t>열기</t>
        </is>
      </c>
    </row>
    <row r="615">
      <c r="A615" t="inlineStr">
        <is>
          <t>삼화네트웍스</t>
        </is>
      </c>
      <c r="B615" t="inlineStr">
        <is>
          <t>046390</t>
        </is>
      </c>
      <c r="C615" t="inlineStr">
        <is>
          <t>현금성자산</t>
        </is>
      </c>
      <c r="D615" t="inlineStr">
        <is>
          <t>전년 동기말</t>
        </is>
      </c>
      <c r="E615" s="3" t="n">
        <v>1260966546</v>
      </c>
      <c r="F615" t="inlineStr"/>
      <c r="I615" t="inlineStr">
        <is>
          <t>20250814001480</t>
        </is>
      </c>
      <c r="J615" s="4" t="inlineStr">
        <is>
          <t>열기</t>
        </is>
      </c>
    </row>
    <row r="616">
      <c r="A616" t="inlineStr">
        <is>
          <t>삼화네트웍스</t>
        </is>
      </c>
      <c r="B616" t="inlineStr">
        <is>
          <t>046390</t>
        </is>
      </c>
      <c r="C616" t="inlineStr">
        <is>
          <t>단기금융상품</t>
        </is>
      </c>
      <c r="D616" t="inlineStr">
        <is>
          <t>당기말</t>
        </is>
      </c>
      <c r="E616" s="3" t="n">
        <v>0</v>
      </c>
      <c r="F616" t="inlineStr">
        <is>
          <t>zero_default</t>
        </is>
      </c>
      <c r="I616" t="inlineStr">
        <is>
          <t>20260814000691</t>
        </is>
      </c>
      <c r="J616" s="4" t="inlineStr">
        <is>
          <t>열기</t>
        </is>
      </c>
    </row>
    <row r="617">
      <c r="A617" t="inlineStr">
        <is>
          <t>삼화네트웍스</t>
        </is>
      </c>
      <c r="B617" t="inlineStr">
        <is>
          <t>046390</t>
        </is>
      </c>
      <c r="C617" t="inlineStr">
        <is>
          <t>단기금융상품</t>
        </is>
      </c>
      <c r="D617" t="inlineStr">
        <is>
          <t>전년 동기말</t>
        </is>
      </c>
      <c r="E617" s="3" t="n">
        <v>0</v>
      </c>
      <c r="F617" t="inlineStr"/>
      <c r="I617" t="inlineStr">
        <is>
          <t>20250814001480</t>
        </is>
      </c>
      <c r="J617" s="4" t="inlineStr">
        <is>
          <t>열기</t>
        </is>
      </c>
    </row>
    <row r="618">
      <c r="A618" t="inlineStr">
        <is>
          <t>에코프로에이치엔</t>
        </is>
      </c>
      <c r="B618" t="inlineStr">
        <is>
          <t>383310</t>
        </is>
      </c>
      <c r="C618" t="inlineStr">
        <is>
          <t>지배주주순이익</t>
        </is>
      </c>
      <c r="D618" t="inlineStr">
        <is>
          <t>당기 YTD</t>
        </is>
      </c>
      <c r="E618" s="3" t="n">
        <v>9593627586</v>
      </c>
      <c r="F618" t="inlineStr">
        <is>
          <t>no_nci</t>
        </is>
      </c>
      <c r="G618" t="inlineStr">
        <is>
          <t>ifrs-full_ProfitLoss</t>
        </is>
      </c>
      <c r="H618" t="inlineStr">
        <is>
          <t>반기순이익</t>
        </is>
      </c>
      <c r="I618" t="inlineStr">
        <is>
          <t>20260814001912</t>
        </is>
      </c>
      <c r="J618" s="4" t="inlineStr">
        <is>
          <t>열기</t>
        </is>
      </c>
    </row>
    <row r="619">
      <c r="A619" t="inlineStr">
        <is>
          <t>에코프로에이치엔</t>
        </is>
      </c>
      <c r="B619" t="inlineStr">
        <is>
          <t>383310</t>
        </is>
      </c>
      <c r="C619" t="inlineStr">
        <is>
          <t>지배주주순이익</t>
        </is>
      </c>
      <c r="D619" t="inlineStr">
        <is>
          <t>전년 연간</t>
        </is>
      </c>
      <c r="E619" s="3" t="n">
        <v>13220969592</v>
      </c>
      <c r="F619" t="inlineStr"/>
      <c r="I619" t="inlineStr">
        <is>
          <t>20260316001329</t>
        </is>
      </c>
      <c r="J619" s="4" t="inlineStr">
        <is>
          <t>열기</t>
        </is>
      </c>
    </row>
    <row r="620">
      <c r="A620" t="inlineStr">
        <is>
          <t>에코프로에이치엔</t>
        </is>
      </c>
      <c r="B620" t="inlineStr">
        <is>
          <t>383310</t>
        </is>
      </c>
      <c r="C620" t="inlineStr">
        <is>
          <t>지배주주순이익</t>
        </is>
      </c>
      <c r="D620" t="inlineStr">
        <is>
          <t>전년 동기 YTD</t>
        </is>
      </c>
      <c r="E620" s="3" t="n">
        <v>7079475999</v>
      </c>
      <c r="F620" t="inlineStr"/>
      <c r="I620" t="inlineStr">
        <is>
          <t>20250814003346</t>
        </is>
      </c>
      <c r="J620" s="4" t="inlineStr">
        <is>
          <t>열기</t>
        </is>
      </c>
    </row>
    <row r="621">
      <c r="A621" t="inlineStr">
        <is>
          <t>에코프로에이치엔</t>
        </is>
      </c>
      <c r="B621" t="inlineStr">
        <is>
          <t>383310</t>
        </is>
      </c>
      <c r="C621" t="inlineStr">
        <is>
          <t>당기순이익</t>
        </is>
      </c>
      <c r="D621" t="inlineStr">
        <is>
          <t>당기 YTD</t>
        </is>
      </c>
      <c r="E621" s="3" t="n">
        <v>9593627586</v>
      </c>
      <c r="F621" t="inlineStr">
        <is>
          <t>id</t>
        </is>
      </c>
      <c r="G621" t="inlineStr">
        <is>
          <t>ifrs-full_ProfitLoss</t>
        </is>
      </c>
      <c r="H621" t="inlineStr">
        <is>
          <t>반기순이익</t>
        </is>
      </c>
      <c r="I621" t="inlineStr">
        <is>
          <t>20260814001912</t>
        </is>
      </c>
      <c r="J621" s="4" t="inlineStr">
        <is>
          <t>열기</t>
        </is>
      </c>
    </row>
    <row r="622">
      <c r="A622" t="inlineStr">
        <is>
          <t>에코프로에이치엔</t>
        </is>
      </c>
      <c r="B622" t="inlineStr">
        <is>
          <t>383310</t>
        </is>
      </c>
      <c r="C622" t="inlineStr">
        <is>
          <t>당기순이익</t>
        </is>
      </c>
      <c r="D622" t="inlineStr">
        <is>
          <t>전년 연간</t>
        </is>
      </c>
      <c r="E622" s="3" t="n">
        <v>13220969592</v>
      </c>
      <c r="F622" t="inlineStr"/>
      <c r="I622" t="inlineStr">
        <is>
          <t>20260316001329</t>
        </is>
      </c>
      <c r="J622" s="4" t="inlineStr">
        <is>
          <t>열기</t>
        </is>
      </c>
    </row>
    <row r="623">
      <c r="A623" t="inlineStr">
        <is>
          <t>에코프로에이치엔</t>
        </is>
      </c>
      <c r="B623" t="inlineStr">
        <is>
          <t>383310</t>
        </is>
      </c>
      <c r="C623" t="inlineStr">
        <is>
          <t>당기순이익</t>
        </is>
      </c>
      <c r="D623" t="inlineStr">
        <is>
          <t>전년 동기 YTD</t>
        </is>
      </c>
      <c r="E623" s="3" t="n">
        <v>7079475999</v>
      </c>
      <c r="F623" t="inlineStr"/>
      <c r="I623" t="inlineStr">
        <is>
          <t>20250814003346</t>
        </is>
      </c>
      <c r="J623" s="4" t="inlineStr">
        <is>
          <t>열기</t>
        </is>
      </c>
    </row>
    <row r="624">
      <c r="A624" t="inlineStr">
        <is>
          <t>에코프로에이치엔</t>
        </is>
      </c>
      <c r="B624" t="inlineStr">
        <is>
          <t>383310</t>
        </is>
      </c>
      <c r="C624" t="inlineStr">
        <is>
          <t>매출액</t>
        </is>
      </c>
      <c r="D624" t="inlineStr">
        <is>
          <t>당기 YTD</t>
        </is>
      </c>
      <c r="E624" s="3" t="n">
        <v>86194788513</v>
      </c>
      <c r="F624" t="inlineStr">
        <is>
          <t>id</t>
        </is>
      </c>
      <c r="G624" t="inlineStr">
        <is>
          <t>ifrs-full_Revenue</t>
        </is>
      </c>
      <c r="H624" t="inlineStr">
        <is>
          <t>매출액</t>
        </is>
      </c>
      <c r="I624" t="inlineStr">
        <is>
          <t>20260814001912</t>
        </is>
      </c>
      <c r="J624" s="4" t="inlineStr">
        <is>
          <t>열기</t>
        </is>
      </c>
    </row>
    <row r="625">
      <c r="A625" t="inlineStr">
        <is>
          <t>에코프로에이치엔</t>
        </is>
      </c>
      <c r="B625" t="inlineStr">
        <is>
          <t>383310</t>
        </is>
      </c>
      <c r="C625" t="inlineStr">
        <is>
          <t>매출액</t>
        </is>
      </c>
      <c r="D625" t="inlineStr">
        <is>
          <t>전년 연간</t>
        </is>
      </c>
      <c r="E625" s="3" t="n">
        <v>141057118027</v>
      </c>
      <c r="F625" t="inlineStr"/>
      <c r="I625" t="inlineStr">
        <is>
          <t>20260316001329</t>
        </is>
      </c>
      <c r="J625" s="4" t="inlineStr">
        <is>
          <t>열기</t>
        </is>
      </c>
    </row>
    <row r="626">
      <c r="A626" t="inlineStr">
        <is>
          <t>에코프로에이치엔</t>
        </is>
      </c>
      <c r="B626" t="inlineStr">
        <is>
          <t>383310</t>
        </is>
      </c>
      <c r="C626" t="inlineStr">
        <is>
          <t>매출액</t>
        </is>
      </c>
      <c r="D626" t="inlineStr">
        <is>
          <t>전년 동기 YTD</t>
        </is>
      </c>
      <c r="E626" s="3" t="n">
        <v>73435174603</v>
      </c>
      <c r="F626" t="inlineStr"/>
      <c r="I626" t="inlineStr">
        <is>
          <t>20250814003346</t>
        </is>
      </c>
      <c r="J626" s="4" t="inlineStr">
        <is>
          <t>열기</t>
        </is>
      </c>
    </row>
    <row r="627">
      <c r="A627" t="inlineStr">
        <is>
          <t>에코프로에이치엔</t>
        </is>
      </c>
      <c r="B627" t="inlineStr">
        <is>
          <t>383310</t>
        </is>
      </c>
      <c r="C627" t="inlineStr">
        <is>
          <t>매출총이익</t>
        </is>
      </c>
      <c r="D627" t="inlineStr">
        <is>
          <t>당기 YTD</t>
        </is>
      </c>
      <c r="E627" s="3" t="n">
        <v>25894379242</v>
      </c>
      <c r="F627" t="inlineStr">
        <is>
          <t>id</t>
        </is>
      </c>
      <c r="G627" t="inlineStr">
        <is>
          <t>ifrs-full_GrossProfit</t>
        </is>
      </c>
      <c r="H627" t="inlineStr">
        <is>
          <t>매출총이익</t>
        </is>
      </c>
      <c r="I627" t="inlineStr">
        <is>
          <t>20260814001912</t>
        </is>
      </c>
      <c r="J627" s="4" t="inlineStr">
        <is>
          <t>열기</t>
        </is>
      </c>
    </row>
    <row r="628">
      <c r="A628" t="inlineStr">
        <is>
          <t>에코프로에이치엔</t>
        </is>
      </c>
      <c r="B628" t="inlineStr">
        <is>
          <t>383310</t>
        </is>
      </c>
      <c r="C628" t="inlineStr">
        <is>
          <t>매출총이익</t>
        </is>
      </c>
      <c r="D628" t="inlineStr">
        <is>
          <t>전년 연간</t>
        </is>
      </c>
      <c r="E628" s="3" t="n">
        <v>41700633014</v>
      </c>
      <c r="F628" t="inlineStr"/>
      <c r="I628" t="inlineStr">
        <is>
          <t>20260316001329</t>
        </is>
      </c>
      <c r="J628" s="4" t="inlineStr">
        <is>
          <t>열기</t>
        </is>
      </c>
    </row>
    <row r="629">
      <c r="A629" t="inlineStr">
        <is>
          <t>에코프로에이치엔</t>
        </is>
      </c>
      <c r="B629" t="inlineStr">
        <is>
          <t>383310</t>
        </is>
      </c>
      <c r="C629" t="inlineStr">
        <is>
          <t>매출총이익</t>
        </is>
      </c>
      <c r="D629" t="inlineStr">
        <is>
          <t>전년 동기 YTD</t>
        </is>
      </c>
      <c r="E629" s="3" t="n">
        <v>22305324388</v>
      </c>
      <c r="F629" t="inlineStr"/>
      <c r="I629" t="inlineStr">
        <is>
          <t>20250814003346</t>
        </is>
      </c>
      <c r="J629" s="4" t="inlineStr">
        <is>
          <t>열기</t>
        </is>
      </c>
    </row>
    <row r="630">
      <c r="A630" t="inlineStr">
        <is>
          <t>에코프로에이치엔</t>
        </is>
      </c>
      <c r="B630" t="inlineStr">
        <is>
          <t>383310</t>
        </is>
      </c>
      <c r="C630" t="inlineStr">
        <is>
          <t>영업이익</t>
        </is>
      </c>
      <c r="D630" t="inlineStr">
        <is>
          <t>당기 YTD</t>
        </is>
      </c>
      <c r="E630" s="3" t="n">
        <v>10791149966</v>
      </c>
      <c r="F630" t="inlineStr">
        <is>
          <t>id</t>
        </is>
      </c>
      <c r="G630" t="inlineStr">
        <is>
          <t>dart_OperatingIncomeLoss</t>
        </is>
      </c>
      <c r="H630" t="inlineStr">
        <is>
          <t>영업이익</t>
        </is>
      </c>
      <c r="I630" t="inlineStr">
        <is>
          <t>20260814001912</t>
        </is>
      </c>
      <c r="J630" s="4" t="inlineStr">
        <is>
          <t>열기</t>
        </is>
      </c>
    </row>
    <row r="631">
      <c r="A631" t="inlineStr">
        <is>
          <t>에코프로에이치엔</t>
        </is>
      </c>
      <c r="B631" t="inlineStr">
        <is>
          <t>383310</t>
        </is>
      </c>
      <c r="C631" t="inlineStr">
        <is>
          <t>영업이익</t>
        </is>
      </c>
      <c r="D631" t="inlineStr">
        <is>
          <t>전년 연간</t>
        </is>
      </c>
      <c r="E631" s="3" t="n">
        <v>11709586777</v>
      </c>
      <c r="F631" t="inlineStr"/>
      <c r="I631" t="inlineStr">
        <is>
          <t>20260316001329</t>
        </is>
      </c>
      <c r="J631" s="4" t="inlineStr">
        <is>
          <t>열기</t>
        </is>
      </c>
    </row>
    <row r="632">
      <c r="A632" t="inlineStr">
        <is>
          <t>에코프로에이치엔</t>
        </is>
      </c>
      <c r="B632" t="inlineStr">
        <is>
          <t>383310</t>
        </is>
      </c>
      <c r="C632" t="inlineStr">
        <is>
          <t>영업이익</t>
        </is>
      </c>
      <c r="D632" t="inlineStr">
        <is>
          <t>전년 동기 YTD</t>
        </is>
      </c>
      <c r="E632" s="3" t="n">
        <v>7068099180</v>
      </c>
      <c r="F632" t="inlineStr"/>
      <c r="I632" t="inlineStr">
        <is>
          <t>20250814003346</t>
        </is>
      </c>
      <c r="J632" s="4" t="inlineStr">
        <is>
          <t>열기</t>
        </is>
      </c>
    </row>
    <row r="633">
      <c r="A633" t="inlineStr">
        <is>
          <t>에코프로에이치엔</t>
        </is>
      </c>
      <c r="B633" t="inlineStr">
        <is>
          <t>383310</t>
        </is>
      </c>
      <c r="C633" t="inlineStr">
        <is>
          <t>영업현금흐름</t>
        </is>
      </c>
      <c r="D633" t="inlineStr">
        <is>
          <t>당기 YTD</t>
        </is>
      </c>
      <c r="E633" s="3" t="n">
        <v>7030564323</v>
      </c>
      <c r="F633" t="inlineStr">
        <is>
          <t>id</t>
        </is>
      </c>
      <c r="G633" t="inlineStr">
        <is>
          <t>ifrs-full_CashFlowsFromUsedInOperatingActivities</t>
        </is>
      </c>
      <c r="H633" t="inlineStr">
        <is>
          <t>영업활동으로 인한 현금흐름</t>
        </is>
      </c>
      <c r="I633" t="inlineStr">
        <is>
          <t>20260814001912</t>
        </is>
      </c>
      <c r="J633" s="4" t="inlineStr">
        <is>
          <t>열기</t>
        </is>
      </c>
    </row>
    <row r="634">
      <c r="A634" t="inlineStr">
        <is>
          <t>에코프로에이치엔</t>
        </is>
      </c>
      <c r="B634" t="inlineStr">
        <is>
          <t>383310</t>
        </is>
      </c>
      <c r="C634" t="inlineStr">
        <is>
          <t>영업현금흐름</t>
        </is>
      </c>
      <c r="D634" t="inlineStr">
        <is>
          <t>전년 연간</t>
        </is>
      </c>
      <c r="E634" s="3" t="n">
        <v>-4869001747</v>
      </c>
      <c r="F634" t="inlineStr"/>
      <c r="I634" t="inlineStr">
        <is>
          <t>20260316001329</t>
        </is>
      </c>
      <c r="J634" s="4" t="inlineStr">
        <is>
          <t>열기</t>
        </is>
      </c>
    </row>
    <row r="635">
      <c r="A635" t="inlineStr">
        <is>
          <t>에코프로에이치엔</t>
        </is>
      </c>
      <c r="B635" t="inlineStr">
        <is>
          <t>383310</t>
        </is>
      </c>
      <c r="C635" t="inlineStr">
        <is>
          <t>영업현금흐름</t>
        </is>
      </c>
      <c r="D635" t="inlineStr">
        <is>
          <t>전년 동기 YTD</t>
        </is>
      </c>
      <c r="E635" s="3" t="n">
        <v>-8912371072</v>
      </c>
      <c r="F635" t="inlineStr"/>
      <c r="I635" t="inlineStr">
        <is>
          <t>20250814003346</t>
        </is>
      </c>
      <c r="J635" s="4" t="inlineStr">
        <is>
          <t>열기</t>
        </is>
      </c>
    </row>
    <row r="636">
      <c r="A636" t="inlineStr">
        <is>
          <t>에코프로에이치엔</t>
        </is>
      </c>
      <c r="B636" t="inlineStr">
        <is>
          <t>383310</t>
        </is>
      </c>
      <c r="C636" t="inlineStr">
        <is>
          <t>지배주주자본</t>
        </is>
      </c>
      <c r="D636" t="inlineStr">
        <is>
          <t>당기말</t>
        </is>
      </c>
      <c r="E636" s="3" t="n">
        <v>310226994846</v>
      </c>
      <c r="F636" t="inlineStr">
        <is>
          <t>id</t>
        </is>
      </c>
      <c r="G636" t="inlineStr">
        <is>
          <t>ifrs-full_EquityAttributableToOwnersOfParent</t>
        </is>
      </c>
      <c r="H636" t="inlineStr">
        <is>
          <t>지배기업의 소유지분</t>
        </is>
      </c>
      <c r="I636" t="inlineStr">
        <is>
          <t>20260814001912</t>
        </is>
      </c>
      <c r="J636" s="4" t="inlineStr">
        <is>
          <t>열기</t>
        </is>
      </c>
    </row>
    <row r="637">
      <c r="A637" t="inlineStr">
        <is>
          <t>에코프로에이치엔</t>
        </is>
      </c>
      <c r="B637" t="inlineStr">
        <is>
          <t>383310</t>
        </is>
      </c>
      <c r="C637" t="inlineStr">
        <is>
          <t>지배주주자본</t>
        </is>
      </c>
      <c r="D637" t="inlineStr">
        <is>
          <t>전년 동기말</t>
        </is>
      </c>
      <c r="E637" s="3" t="n">
        <v>297413215463</v>
      </c>
      <c r="F637" t="inlineStr"/>
      <c r="I637" t="inlineStr">
        <is>
          <t>20250814003346</t>
        </is>
      </c>
      <c r="J637" s="4" t="inlineStr">
        <is>
          <t>열기</t>
        </is>
      </c>
    </row>
    <row r="638">
      <c r="A638" t="inlineStr">
        <is>
          <t>에코프로에이치엔</t>
        </is>
      </c>
      <c r="B638" t="inlineStr">
        <is>
          <t>383310</t>
        </is>
      </c>
      <c r="C638" t="inlineStr">
        <is>
          <t>자산총계</t>
        </is>
      </c>
      <c r="D638" t="inlineStr">
        <is>
          <t>당기말</t>
        </is>
      </c>
      <c r="E638" s="3" t="n">
        <v>455811819264</v>
      </c>
      <c r="F638" t="inlineStr">
        <is>
          <t>id</t>
        </is>
      </c>
      <c r="G638" t="inlineStr">
        <is>
          <t>ifrs-full_Assets</t>
        </is>
      </c>
      <c r="H638" t="inlineStr">
        <is>
          <t>자산총계</t>
        </is>
      </c>
      <c r="I638" t="inlineStr">
        <is>
          <t>20260814001912</t>
        </is>
      </c>
      <c r="J638" s="4" t="inlineStr">
        <is>
          <t>열기</t>
        </is>
      </c>
    </row>
    <row r="639">
      <c r="A639" t="inlineStr">
        <is>
          <t>에코프로에이치엔</t>
        </is>
      </c>
      <c r="B639" t="inlineStr">
        <is>
          <t>383310</t>
        </is>
      </c>
      <c r="C639" t="inlineStr">
        <is>
          <t>자산총계</t>
        </is>
      </c>
      <c r="D639" t="inlineStr">
        <is>
          <t>전년 동기말</t>
        </is>
      </c>
      <c r="E639" s="3" t="n">
        <v>437929560652</v>
      </c>
      <c r="F639" t="inlineStr"/>
      <c r="I639" t="inlineStr">
        <is>
          <t>20250814003346</t>
        </is>
      </c>
      <c r="J639" s="4" t="inlineStr">
        <is>
          <t>열기</t>
        </is>
      </c>
    </row>
    <row r="640">
      <c r="A640" t="inlineStr">
        <is>
          <t>에코프로에이치엔</t>
        </is>
      </c>
      <c r="B640" t="inlineStr">
        <is>
          <t>383310</t>
        </is>
      </c>
      <c r="C640" t="inlineStr">
        <is>
          <t>이자부부채</t>
        </is>
      </c>
      <c r="D640" t="inlineStr">
        <is>
          <t>당기말</t>
        </is>
      </c>
      <c r="E640" s="3" t="n">
        <v>109639647496</v>
      </c>
      <c r="F640" t="inlineStr">
        <is>
          <t>id</t>
        </is>
      </c>
      <c r="G640" t="inlineStr">
        <is>
          <t>ifrs-full_CurrentBorrowingsAndCurrentPortionOfNoncurrentBorrowings + ifrs-full_CurrentLeaseLiabilities + ifrs-full_LongtermBorrowings + ifrs-full_NoncurrentLeaseLiabilities</t>
        </is>
      </c>
      <c r="H640" t="inlineStr">
        <is>
          <t>단기차입금 + 유동리스부채 + 장기차입금 + 비유동리스부채</t>
        </is>
      </c>
      <c r="I640" t="inlineStr">
        <is>
          <t>20260814001912</t>
        </is>
      </c>
      <c r="J640" s="4" t="inlineStr">
        <is>
          <t>열기</t>
        </is>
      </c>
    </row>
    <row r="641">
      <c r="A641" t="inlineStr">
        <is>
          <t>에코프로에이치엔</t>
        </is>
      </c>
      <c r="B641" t="inlineStr">
        <is>
          <t>383310</t>
        </is>
      </c>
      <c r="C641" t="inlineStr">
        <is>
          <t>이자부부채</t>
        </is>
      </c>
      <c r="D641" t="inlineStr">
        <is>
          <t>전년 동기말</t>
        </is>
      </c>
      <c r="E641" s="3" t="n">
        <v>103446764589</v>
      </c>
      <c r="F641" t="inlineStr"/>
      <c r="I641" t="inlineStr">
        <is>
          <t>20250814003346</t>
        </is>
      </c>
      <c r="J641" s="4" t="inlineStr">
        <is>
          <t>열기</t>
        </is>
      </c>
    </row>
    <row r="642">
      <c r="A642" t="inlineStr">
        <is>
          <t>에코프로에이치엔</t>
        </is>
      </c>
      <c r="B642" t="inlineStr">
        <is>
          <t>383310</t>
        </is>
      </c>
      <c r="C642" t="inlineStr">
        <is>
          <t>현금성자산</t>
        </is>
      </c>
      <c r="D642" t="inlineStr">
        <is>
          <t>당기말</t>
        </is>
      </c>
      <c r="E642" s="3" t="n">
        <v>17709066196</v>
      </c>
      <c r="F642" t="inlineStr">
        <is>
          <t>id</t>
        </is>
      </c>
      <c r="G642" t="inlineStr">
        <is>
          <t>ifrs-full_CashAndCashEquivalents</t>
        </is>
      </c>
      <c r="H642" t="inlineStr">
        <is>
          <t>현금및현금성자산</t>
        </is>
      </c>
      <c r="I642" t="inlineStr">
        <is>
          <t>20260814001912</t>
        </is>
      </c>
      <c r="J642" s="4" t="inlineStr">
        <is>
          <t>열기</t>
        </is>
      </c>
    </row>
    <row r="643">
      <c r="A643" t="inlineStr">
        <is>
          <t>에코프로에이치엔</t>
        </is>
      </c>
      <c r="B643" t="inlineStr">
        <is>
          <t>383310</t>
        </is>
      </c>
      <c r="C643" t="inlineStr">
        <is>
          <t>현금성자산</t>
        </is>
      </c>
      <c r="D643" t="inlineStr">
        <is>
          <t>전년 동기말</t>
        </is>
      </c>
      <c r="E643" s="3" t="n">
        <v>75637328602</v>
      </c>
      <c r="F643" t="inlineStr"/>
      <c r="I643" t="inlineStr">
        <is>
          <t>20250814003346</t>
        </is>
      </c>
      <c r="J643" s="4" t="inlineStr">
        <is>
          <t>열기</t>
        </is>
      </c>
    </row>
    <row r="644">
      <c r="A644" t="inlineStr">
        <is>
          <t>에코프로에이치엔</t>
        </is>
      </c>
      <c r="B644" t="inlineStr">
        <is>
          <t>383310</t>
        </is>
      </c>
      <c r="C644" t="inlineStr">
        <is>
          <t>단기금융상품</t>
        </is>
      </c>
      <c r="D644" t="inlineStr">
        <is>
          <t>당기말</t>
        </is>
      </c>
      <c r="E644" s="3" t="n">
        <v>28500000000</v>
      </c>
      <c r="F644" t="inlineStr">
        <is>
          <t>id</t>
        </is>
      </c>
      <c r="G644" t="inlineStr">
        <is>
          <t>ifrs-full_ShorttermDepositsNotClassifiedAsCashEquivalents</t>
        </is>
      </c>
      <c r="H644" t="inlineStr">
        <is>
          <t>단기금융상품</t>
        </is>
      </c>
      <c r="I644" t="inlineStr">
        <is>
          <t>20260814001912</t>
        </is>
      </c>
      <c r="J644" s="4" t="inlineStr">
        <is>
          <t>열기</t>
        </is>
      </c>
    </row>
    <row r="645">
      <c r="A645" t="inlineStr">
        <is>
          <t>에코프로에이치엔</t>
        </is>
      </c>
      <c r="B645" t="inlineStr">
        <is>
          <t>383310</t>
        </is>
      </c>
      <c r="C645" t="inlineStr">
        <is>
          <t>단기금융상품</t>
        </is>
      </c>
      <c r="D645" t="inlineStr">
        <is>
          <t>전년 동기말</t>
        </is>
      </c>
      <c r="E645" s="3" t="n">
        <v>23500000000</v>
      </c>
      <c r="F645" t="inlineStr"/>
      <c r="I645" t="inlineStr">
        <is>
          <t>20250814003346</t>
        </is>
      </c>
      <c r="J645" s="4" t="inlineStr">
        <is>
          <t>열기</t>
        </is>
      </c>
    </row>
    <row r="646">
      <c r="A646" t="inlineStr">
        <is>
          <t>다산네트웍스</t>
        </is>
      </c>
      <c r="B646" t="inlineStr">
        <is>
          <t>039560</t>
        </is>
      </c>
      <c r="C646" t="inlineStr">
        <is>
          <t>지배주주순이익</t>
        </is>
      </c>
      <c r="D646" t="inlineStr">
        <is>
          <t>당기 YTD</t>
        </is>
      </c>
      <c r="E646" s="3" t="n">
        <v>9185573010</v>
      </c>
      <c r="F646" t="inlineStr">
        <is>
          <t>id</t>
        </is>
      </c>
      <c r="G646" t="inlineStr">
        <is>
          <t>ifrs-full_ProfitLossAttributableToOwnersOfParent</t>
        </is>
      </c>
      <c r="H646" t="inlineStr">
        <is>
          <t>지배기업의 소유주지분</t>
        </is>
      </c>
      <c r="I646" t="inlineStr">
        <is>
          <t>20260814002813</t>
        </is>
      </c>
      <c r="J646" s="4" t="inlineStr">
        <is>
          <t>열기</t>
        </is>
      </c>
    </row>
    <row r="647">
      <c r="A647" t="inlineStr">
        <is>
          <t>다산네트웍스</t>
        </is>
      </c>
      <c r="B647" t="inlineStr">
        <is>
          <t>039560</t>
        </is>
      </c>
      <c r="C647" t="inlineStr">
        <is>
          <t>지배주주순이익</t>
        </is>
      </c>
      <c r="D647" t="inlineStr">
        <is>
          <t>전년 연간</t>
        </is>
      </c>
      <c r="E647" s="3" t="n">
        <v>-7170811062</v>
      </c>
      <c r="F647" t="inlineStr"/>
      <c r="I647" t="inlineStr">
        <is>
          <t>20260323001163</t>
        </is>
      </c>
      <c r="J647" s="4" t="inlineStr">
        <is>
          <t>열기</t>
        </is>
      </c>
    </row>
    <row r="648">
      <c r="A648" t="inlineStr">
        <is>
          <t>다산네트웍스</t>
        </is>
      </c>
      <c r="B648" t="inlineStr">
        <is>
          <t>039560</t>
        </is>
      </c>
      <c r="C648" t="inlineStr">
        <is>
          <t>지배주주순이익</t>
        </is>
      </c>
      <c r="D648" t="inlineStr">
        <is>
          <t>전년 동기 YTD</t>
        </is>
      </c>
      <c r="E648" s="3" t="n">
        <v>20885251907</v>
      </c>
      <c r="F648" t="inlineStr"/>
      <c r="I648" t="inlineStr">
        <is>
          <t>20250814002857</t>
        </is>
      </c>
      <c r="J648" s="4" t="inlineStr">
        <is>
          <t>열기</t>
        </is>
      </c>
    </row>
    <row r="649">
      <c r="A649" t="inlineStr">
        <is>
          <t>다산네트웍스</t>
        </is>
      </c>
      <c r="B649" t="inlineStr">
        <is>
          <t>039560</t>
        </is>
      </c>
      <c r="C649" t="inlineStr">
        <is>
          <t>당기순이익</t>
        </is>
      </c>
      <c r="D649" t="inlineStr">
        <is>
          <t>당기 YTD</t>
        </is>
      </c>
      <c r="E649" s="3" t="n">
        <v>17507190969</v>
      </c>
      <c r="F649" t="inlineStr">
        <is>
          <t>id</t>
        </is>
      </c>
      <c r="G649" t="inlineStr">
        <is>
          <t>ifrs-full_ProfitLoss</t>
        </is>
      </c>
      <c r="H649" t="inlineStr">
        <is>
          <t>당기순이익(손실)</t>
        </is>
      </c>
      <c r="I649" t="inlineStr">
        <is>
          <t>20260814002813</t>
        </is>
      </c>
      <c r="J649" s="4" t="inlineStr">
        <is>
          <t>열기</t>
        </is>
      </c>
    </row>
    <row r="650">
      <c r="A650" t="inlineStr">
        <is>
          <t>다산네트웍스</t>
        </is>
      </c>
      <c r="B650" t="inlineStr">
        <is>
          <t>039560</t>
        </is>
      </c>
      <c r="C650" t="inlineStr">
        <is>
          <t>당기순이익</t>
        </is>
      </c>
      <c r="D650" t="inlineStr">
        <is>
          <t>전년 연간</t>
        </is>
      </c>
      <c r="E650" s="3" t="n">
        <v>4191427824</v>
      </c>
      <c r="F650" t="inlineStr"/>
      <c r="I650" t="inlineStr">
        <is>
          <t>20260323001163</t>
        </is>
      </c>
      <c r="J650" s="4" t="inlineStr">
        <is>
          <t>열기</t>
        </is>
      </c>
    </row>
    <row r="651">
      <c r="A651" t="inlineStr">
        <is>
          <t>다산네트웍스</t>
        </is>
      </c>
      <c r="B651" t="inlineStr">
        <is>
          <t>039560</t>
        </is>
      </c>
      <c r="C651" t="inlineStr">
        <is>
          <t>당기순이익</t>
        </is>
      </c>
      <c r="D651" t="inlineStr">
        <is>
          <t>전년 동기 YTD</t>
        </is>
      </c>
      <c r="E651" s="3" t="n">
        <v>26828622663</v>
      </c>
      <c r="F651" t="inlineStr"/>
      <c r="I651" t="inlineStr">
        <is>
          <t>20250814002857</t>
        </is>
      </c>
      <c r="J651" s="4" t="inlineStr">
        <is>
          <t>열기</t>
        </is>
      </c>
    </row>
    <row r="652">
      <c r="A652" t="inlineStr">
        <is>
          <t>다산네트웍스</t>
        </is>
      </c>
      <c r="B652" t="inlineStr">
        <is>
          <t>039560</t>
        </is>
      </c>
      <c r="C652" t="inlineStr">
        <is>
          <t>매출액</t>
        </is>
      </c>
      <c r="D652" t="inlineStr">
        <is>
          <t>당기 YTD</t>
        </is>
      </c>
      <c r="E652" s="3" t="n">
        <v>279548186072</v>
      </c>
      <c r="F652" t="inlineStr">
        <is>
          <t>id</t>
        </is>
      </c>
      <c r="G652" t="inlineStr">
        <is>
          <t>ifrs-full_Revenue</t>
        </is>
      </c>
      <c r="H652" t="inlineStr">
        <is>
          <t>매출액</t>
        </is>
      </c>
      <c r="I652" t="inlineStr">
        <is>
          <t>20260814002813</t>
        </is>
      </c>
      <c r="J652" s="4" t="inlineStr">
        <is>
          <t>열기</t>
        </is>
      </c>
    </row>
    <row r="653">
      <c r="A653" t="inlineStr">
        <is>
          <t>다산네트웍스</t>
        </is>
      </c>
      <c r="B653" t="inlineStr">
        <is>
          <t>039560</t>
        </is>
      </c>
      <c r="C653" t="inlineStr">
        <is>
          <t>매출액</t>
        </is>
      </c>
      <c r="D653" t="inlineStr">
        <is>
          <t>전년 연간</t>
        </is>
      </c>
      <c r="E653" s="3" t="n">
        <v>541777680410</v>
      </c>
      <c r="F653" t="inlineStr"/>
      <c r="I653" t="inlineStr">
        <is>
          <t>20260323001163</t>
        </is>
      </c>
      <c r="J653" s="4" t="inlineStr">
        <is>
          <t>열기</t>
        </is>
      </c>
    </row>
    <row r="654">
      <c r="A654" t="inlineStr">
        <is>
          <t>다산네트웍스</t>
        </is>
      </c>
      <c r="B654" t="inlineStr">
        <is>
          <t>039560</t>
        </is>
      </c>
      <c r="C654" t="inlineStr">
        <is>
          <t>매출액</t>
        </is>
      </c>
      <c r="D654" t="inlineStr">
        <is>
          <t>전년 동기 YTD</t>
        </is>
      </c>
      <c r="E654" s="3" t="n">
        <v>249281576296</v>
      </c>
      <c r="F654" t="inlineStr"/>
      <c r="I654" t="inlineStr">
        <is>
          <t>20250814002857</t>
        </is>
      </c>
      <c r="J654" s="4" t="inlineStr">
        <is>
          <t>열기</t>
        </is>
      </c>
    </row>
    <row r="655">
      <c r="A655" t="inlineStr">
        <is>
          <t>다산네트웍스</t>
        </is>
      </c>
      <c r="B655" t="inlineStr">
        <is>
          <t>039560</t>
        </is>
      </c>
      <c r="C655" t="inlineStr">
        <is>
          <t>매출총이익</t>
        </is>
      </c>
      <c r="D655" t="inlineStr">
        <is>
          <t>당기 YTD</t>
        </is>
      </c>
      <c r="E655" s="3" t="n">
        <v>89538622477</v>
      </c>
      <c r="F655" t="inlineStr">
        <is>
          <t>id</t>
        </is>
      </c>
      <c r="G655" t="inlineStr">
        <is>
          <t>ifrs-full_GrossProfit</t>
        </is>
      </c>
      <c r="H655" t="inlineStr">
        <is>
          <t>매출총이익</t>
        </is>
      </c>
      <c r="I655" t="inlineStr">
        <is>
          <t>20260814002813</t>
        </is>
      </c>
      <c r="J655" s="4" t="inlineStr">
        <is>
          <t>열기</t>
        </is>
      </c>
    </row>
    <row r="656">
      <c r="A656" t="inlineStr">
        <is>
          <t>다산네트웍스</t>
        </is>
      </c>
      <c r="B656" t="inlineStr">
        <is>
          <t>039560</t>
        </is>
      </c>
      <c r="C656" t="inlineStr">
        <is>
          <t>매출총이익</t>
        </is>
      </c>
      <c r="D656" t="inlineStr">
        <is>
          <t>전년 연간</t>
        </is>
      </c>
      <c r="E656" s="3" t="n">
        <v>163365542599</v>
      </c>
      <c r="F656" t="inlineStr"/>
      <c r="I656" t="inlineStr">
        <is>
          <t>20260323001163</t>
        </is>
      </c>
      <c r="J656" s="4" t="inlineStr">
        <is>
          <t>열기</t>
        </is>
      </c>
    </row>
    <row r="657">
      <c r="A657" t="inlineStr">
        <is>
          <t>다산네트웍스</t>
        </is>
      </c>
      <c r="B657" t="inlineStr">
        <is>
          <t>039560</t>
        </is>
      </c>
      <c r="C657" t="inlineStr">
        <is>
          <t>매출총이익</t>
        </is>
      </c>
      <c r="D657" t="inlineStr">
        <is>
          <t>전년 동기 YTD</t>
        </is>
      </c>
      <c r="E657" s="3" t="n">
        <v>72540951485</v>
      </c>
      <c r="F657" t="inlineStr"/>
      <c r="I657" t="inlineStr">
        <is>
          <t>20250814002857</t>
        </is>
      </c>
      <c r="J657" s="4" t="inlineStr">
        <is>
          <t>열기</t>
        </is>
      </c>
    </row>
    <row r="658">
      <c r="A658" t="inlineStr">
        <is>
          <t>다산네트웍스</t>
        </is>
      </c>
      <c r="B658" t="inlineStr">
        <is>
          <t>039560</t>
        </is>
      </c>
      <c r="C658" t="inlineStr">
        <is>
          <t>영업이익</t>
        </is>
      </c>
      <c r="D658" t="inlineStr">
        <is>
          <t>당기 YTD</t>
        </is>
      </c>
      <c r="E658" s="3" t="n">
        <v>25277829522</v>
      </c>
      <c r="F658" t="inlineStr">
        <is>
          <t>id</t>
        </is>
      </c>
      <c r="G658" t="inlineStr">
        <is>
          <t>dart_OperatingIncomeLoss</t>
        </is>
      </c>
      <c r="H658" t="inlineStr">
        <is>
          <t>영업이익(손실)</t>
        </is>
      </c>
      <c r="I658" t="inlineStr">
        <is>
          <t>20260814002813</t>
        </is>
      </c>
      <c r="J658" s="4" t="inlineStr">
        <is>
          <t>열기</t>
        </is>
      </c>
    </row>
    <row r="659">
      <c r="A659" t="inlineStr">
        <is>
          <t>다산네트웍스</t>
        </is>
      </c>
      <c r="B659" t="inlineStr">
        <is>
          <t>039560</t>
        </is>
      </c>
      <c r="C659" t="inlineStr">
        <is>
          <t>영업이익</t>
        </is>
      </c>
      <c r="D659" t="inlineStr">
        <is>
          <t>전년 연간</t>
        </is>
      </c>
      <c r="E659" s="3" t="n">
        <v>38479275179</v>
      </c>
      <c r="F659" t="inlineStr"/>
      <c r="I659" t="inlineStr">
        <is>
          <t>20260323001163</t>
        </is>
      </c>
      <c r="J659" s="4" t="inlineStr">
        <is>
          <t>열기</t>
        </is>
      </c>
    </row>
    <row r="660">
      <c r="A660" t="inlineStr">
        <is>
          <t>다산네트웍스</t>
        </is>
      </c>
      <c r="B660" t="inlineStr">
        <is>
          <t>039560</t>
        </is>
      </c>
      <c r="C660" t="inlineStr">
        <is>
          <t>영업이익</t>
        </is>
      </c>
      <c r="D660" t="inlineStr">
        <is>
          <t>전년 동기 YTD</t>
        </is>
      </c>
      <c r="E660" s="3" t="n">
        <v>19890942025</v>
      </c>
      <c r="F660" t="inlineStr"/>
      <c r="I660" t="inlineStr">
        <is>
          <t>20250814002857</t>
        </is>
      </c>
      <c r="J660" s="4" t="inlineStr">
        <is>
          <t>열기</t>
        </is>
      </c>
    </row>
    <row r="661">
      <c r="A661" t="inlineStr">
        <is>
          <t>다산네트웍스</t>
        </is>
      </c>
      <c r="B661" t="inlineStr">
        <is>
          <t>039560</t>
        </is>
      </c>
      <c r="C661" t="inlineStr">
        <is>
          <t>영업현금흐름</t>
        </is>
      </c>
      <c r="D661" t="inlineStr">
        <is>
          <t>당기 YTD</t>
        </is>
      </c>
      <c r="E661" s="3" t="n">
        <v>21494198322</v>
      </c>
      <c r="F661" t="inlineStr">
        <is>
          <t>id</t>
        </is>
      </c>
      <c r="G661" t="inlineStr">
        <is>
          <t>ifrs-full_CashFlowsFromUsedInOperatingActivities</t>
        </is>
      </c>
      <c r="H661" t="inlineStr">
        <is>
          <t>영업활동현금흐름</t>
        </is>
      </c>
      <c r="I661" t="inlineStr">
        <is>
          <t>20260814002813</t>
        </is>
      </c>
      <c r="J661" s="4" t="inlineStr">
        <is>
          <t>열기</t>
        </is>
      </c>
    </row>
    <row r="662">
      <c r="A662" t="inlineStr">
        <is>
          <t>다산네트웍스</t>
        </is>
      </c>
      <c r="B662" t="inlineStr">
        <is>
          <t>039560</t>
        </is>
      </c>
      <c r="C662" t="inlineStr">
        <is>
          <t>영업현금흐름</t>
        </is>
      </c>
      <c r="D662" t="inlineStr">
        <is>
          <t>전년 연간</t>
        </is>
      </c>
      <c r="E662" s="3" t="n">
        <v>19425348249</v>
      </c>
      <c r="F662" t="inlineStr"/>
      <c r="I662" t="inlineStr">
        <is>
          <t>20260323001163</t>
        </is>
      </c>
      <c r="J662" s="4" t="inlineStr">
        <is>
          <t>열기</t>
        </is>
      </c>
    </row>
    <row r="663">
      <c r="A663" t="inlineStr">
        <is>
          <t>다산네트웍스</t>
        </is>
      </c>
      <c r="B663" t="inlineStr">
        <is>
          <t>039560</t>
        </is>
      </c>
      <c r="C663" t="inlineStr">
        <is>
          <t>영업현금흐름</t>
        </is>
      </c>
      <c r="D663" t="inlineStr">
        <is>
          <t>전년 동기 YTD</t>
        </is>
      </c>
      <c r="E663" s="3" t="n">
        <v>-11914451026</v>
      </c>
      <c r="F663" t="inlineStr"/>
      <c r="I663" t="inlineStr">
        <is>
          <t>20250814002857</t>
        </is>
      </c>
      <c r="J663" s="4" t="inlineStr">
        <is>
          <t>열기</t>
        </is>
      </c>
    </row>
    <row r="664">
      <c r="A664" t="inlineStr">
        <is>
          <t>다산네트웍스</t>
        </is>
      </c>
      <c r="B664" t="inlineStr">
        <is>
          <t>039560</t>
        </is>
      </c>
      <c r="C664" t="inlineStr">
        <is>
          <t>지배주주자본</t>
        </is>
      </c>
      <c r="D664" t="inlineStr">
        <is>
          <t>당기말</t>
        </is>
      </c>
      <c r="E664" s="3" t="n">
        <v>279143131655</v>
      </c>
      <c r="F664" t="inlineStr">
        <is>
          <t>id</t>
        </is>
      </c>
      <c r="G664" t="inlineStr">
        <is>
          <t>ifrs-full_EquityAttributableToOwnersOfParent</t>
        </is>
      </c>
      <c r="H664" t="inlineStr">
        <is>
          <t>지배기업의 소유주에게 귀속되는 지분</t>
        </is>
      </c>
      <c r="I664" t="inlineStr">
        <is>
          <t>20260814002813</t>
        </is>
      </c>
      <c r="J664" s="4" t="inlineStr">
        <is>
          <t>열기</t>
        </is>
      </c>
    </row>
    <row r="665">
      <c r="A665" t="inlineStr">
        <is>
          <t>다산네트웍스</t>
        </is>
      </c>
      <c r="B665" t="inlineStr">
        <is>
          <t>039560</t>
        </is>
      </c>
      <c r="C665" t="inlineStr">
        <is>
          <t>지배주주자본</t>
        </is>
      </c>
      <c r="D665" t="inlineStr">
        <is>
          <t>전년 동기말</t>
        </is>
      </c>
      <c r="E665" s="3" t="n">
        <v>286440474766</v>
      </c>
      <c r="F665" t="inlineStr"/>
      <c r="I665" t="inlineStr">
        <is>
          <t>20250814002857</t>
        </is>
      </c>
      <c r="J665" s="4" t="inlineStr">
        <is>
          <t>열기</t>
        </is>
      </c>
    </row>
    <row r="666">
      <c r="A666" t="inlineStr">
        <is>
          <t>다산네트웍스</t>
        </is>
      </c>
      <c r="B666" t="inlineStr">
        <is>
          <t>039560</t>
        </is>
      </c>
      <c r="C666" t="inlineStr">
        <is>
          <t>자산총계</t>
        </is>
      </c>
      <c r="D666" t="inlineStr">
        <is>
          <t>당기말</t>
        </is>
      </c>
      <c r="E666" s="3" t="n">
        <v>666042045600</v>
      </c>
      <c r="F666" t="inlineStr">
        <is>
          <t>id</t>
        </is>
      </c>
      <c r="G666" t="inlineStr">
        <is>
          <t>ifrs-full_Assets</t>
        </is>
      </c>
      <c r="H666" t="inlineStr">
        <is>
          <t>자산총계</t>
        </is>
      </c>
      <c r="I666" t="inlineStr">
        <is>
          <t>20260814002813</t>
        </is>
      </c>
      <c r="J666" s="4" t="inlineStr">
        <is>
          <t>열기</t>
        </is>
      </c>
    </row>
    <row r="667">
      <c r="A667" t="inlineStr">
        <is>
          <t>다산네트웍스</t>
        </is>
      </c>
      <c r="B667" t="inlineStr">
        <is>
          <t>039560</t>
        </is>
      </c>
      <c r="C667" t="inlineStr">
        <is>
          <t>자산총계</t>
        </is>
      </c>
      <c r="D667" t="inlineStr">
        <is>
          <t>전년 동기말</t>
        </is>
      </c>
      <c r="E667" s="3" t="n">
        <v>649454285040</v>
      </c>
      <c r="F667" t="inlineStr"/>
      <c r="I667" t="inlineStr">
        <is>
          <t>20250814002857</t>
        </is>
      </c>
      <c r="J667" s="4" t="inlineStr">
        <is>
          <t>열기</t>
        </is>
      </c>
    </row>
    <row r="668">
      <c r="A668" t="inlineStr">
        <is>
          <t>다산네트웍스</t>
        </is>
      </c>
      <c r="B668" t="inlineStr">
        <is>
          <t>039560</t>
        </is>
      </c>
      <c r="C668" t="inlineStr">
        <is>
          <t>이자부부채</t>
        </is>
      </c>
      <c r="D668" t="inlineStr">
        <is>
          <t>당기말</t>
        </is>
      </c>
      <c r="E668" s="3" t="n">
        <v>132656004556</v>
      </c>
      <c r="F668" t="inlineStr">
        <is>
          <t>id</t>
        </is>
      </c>
      <c r="G668" t="inlineStr">
        <is>
          <t>dart_CurrentLoansReceived + dart_CurrentPortionOfBondWithWarrant + ifrs-full_CurrentLeaseLiabilities + ifrs-full_NoncurrentLeaseLiabilities + ifrs-full_NoncurrentPortionOfNoncurrentLoansReceived</t>
        </is>
      </c>
      <c r="H668" t="inlineStr">
        <is>
          <t>단기차입금 + 유동성신주인수권부사채 + 유동 리스부채 + 비유동 리스부채 + 장기차입금</t>
        </is>
      </c>
      <c r="I668" t="inlineStr">
        <is>
          <t>20260814002813</t>
        </is>
      </c>
      <c r="J668" s="4" t="inlineStr">
        <is>
          <t>열기</t>
        </is>
      </c>
    </row>
    <row r="669">
      <c r="A669" t="inlineStr">
        <is>
          <t>다산네트웍스</t>
        </is>
      </c>
      <c r="B669" t="inlineStr">
        <is>
          <t>039560</t>
        </is>
      </c>
      <c r="C669" t="inlineStr">
        <is>
          <t>이자부부채</t>
        </is>
      </c>
      <c r="D669" t="inlineStr">
        <is>
          <t>전년 동기말</t>
        </is>
      </c>
      <c r="E669" s="3" t="n">
        <v>164949624731</v>
      </c>
      <c r="F669" t="inlineStr"/>
      <c r="I669" t="inlineStr">
        <is>
          <t>20250814002857</t>
        </is>
      </c>
      <c r="J669" s="4" t="inlineStr">
        <is>
          <t>열기</t>
        </is>
      </c>
    </row>
    <row r="670">
      <c r="A670" t="inlineStr">
        <is>
          <t>다산네트웍스</t>
        </is>
      </c>
      <c r="B670" t="inlineStr">
        <is>
          <t>039560</t>
        </is>
      </c>
      <c r="C670" t="inlineStr">
        <is>
          <t>현금성자산</t>
        </is>
      </c>
      <c r="D670" t="inlineStr">
        <is>
          <t>당기말</t>
        </is>
      </c>
      <c r="E670" s="3" t="n">
        <v>57248515571</v>
      </c>
      <c r="F670" t="inlineStr">
        <is>
          <t>id</t>
        </is>
      </c>
      <c r="G670" t="inlineStr">
        <is>
          <t>ifrs-full_CashAndCashEquivalents</t>
        </is>
      </c>
      <c r="H670" t="inlineStr">
        <is>
          <t>현금및현금성자산</t>
        </is>
      </c>
      <c r="I670" t="inlineStr">
        <is>
          <t>20260814002813</t>
        </is>
      </c>
      <c r="J670" s="4" t="inlineStr">
        <is>
          <t>열기</t>
        </is>
      </c>
    </row>
    <row r="671">
      <c r="A671" t="inlineStr">
        <is>
          <t>다산네트웍스</t>
        </is>
      </c>
      <c r="B671" t="inlineStr">
        <is>
          <t>039560</t>
        </is>
      </c>
      <c r="C671" t="inlineStr">
        <is>
          <t>현금성자산</t>
        </is>
      </c>
      <c r="D671" t="inlineStr">
        <is>
          <t>전년 동기말</t>
        </is>
      </c>
      <c r="E671" s="3" t="n">
        <v>40138854691</v>
      </c>
      <c r="F671" t="inlineStr"/>
      <c r="I671" t="inlineStr">
        <is>
          <t>20250814002857</t>
        </is>
      </c>
      <c r="J671" s="4" t="inlineStr">
        <is>
          <t>열기</t>
        </is>
      </c>
    </row>
    <row r="672">
      <c r="A672" t="inlineStr">
        <is>
          <t>다산네트웍스</t>
        </is>
      </c>
      <c r="B672" t="inlineStr">
        <is>
          <t>039560</t>
        </is>
      </c>
      <c r="C672" t="inlineStr">
        <is>
          <t>단기금융상품</t>
        </is>
      </c>
      <c r="D672" t="inlineStr">
        <is>
          <t>당기말</t>
        </is>
      </c>
      <c r="E672" s="3" t="n">
        <v>28008536607</v>
      </c>
      <c r="F672" t="inlineStr">
        <is>
          <t>id</t>
        </is>
      </c>
      <c r="G672" t="inlineStr">
        <is>
          <t>ifrs-full_ShorttermDepositsNotClassifiedAsCashEquivalents</t>
        </is>
      </c>
      <c r="H672" t="inlineStr">
        <is>
          <t>단기금융상품</t>
        </is>
      </c>
      <c r="I672" t="inlineStr">
        <is>
          <t>20260814002813</t>
        </is>
      </c>
      <c r="J672" s="4" t="inlineStr">
        <is>
          <t>열기</t>
        </is>
      </c>
    </row>
    <row r="673">
      <c r="A673" t="inlineStr">
        <is>
          <t>다산네트웍스</t>
        </is>
      </c>
      <c r="B673" t="inlineStr">
        <is>
          <t>039560</t>
        </is>
      </c>
      <c r="C673" t="inlineStr">
        <is>
          <t>단기금융상품</t>
        </is>
      </c>
      <c r="D673" t="inlineStr">
        <is>
          <t>전년 동기말</t>
        </is>
      </c>
      <c r="E673" s="3" t="n">
        <v>13245748458</v>
      </c>
      <c r="F673" t="inlineStr"/>
      <c r="I673" t="inlineStr">
        <is>
          <t>20250814002857</t>
        </is>
      </c>
      <c r="J673" s="4" t="inlineStr">
        <is>
          <t>열기</t>
        </is>
      </c>
    </row>
    <row r="674">
      <c r="A674" t="inlineStr">
        <is>
          <t>인바이오</t>
        </is>
      </c>
      <c r="B674" t="inlineStr">
        <is>
          <t>352940</t>
        </is>
      </c>
      <c r="C674" t="inlineStr">
        <is>
          <t>지배주주순이익</t>
        </is>
      </c>
      <c r="D674" t="inlineStr">
        <is>
          <t>당기 YTD</t>
        </is>
      </c>
      <c r="E674" s="3" t="n">
        <v>2165012133</v>
      </c>
      <c r="F674" t="inlineStr">
        <is>
          <t>separate_only</t>
        </is>
      </c>
      <c r="G674" t="inlineStr">
        <is>
          <t>ifrs-full_ProfitLoss</t>
        </is>
      </c>
      <c r="H674" t="inlineStr">
        <is>
          <t>당기순이익(손실)</t>
        </is>
      </c>
      <c r="I674" t="inlineStr">
        <is>
          <t>20260813000903</t>
        </is>
      </c>
      <c r="J674" s="4" t="inlineStr">
        <is>
          <t>열기</t>
        </is>
      </c>
    </row>
    <row r="675">
      <c r="A675" t="inlineStr">
        <is>
          <t>인바이오</t>
        </is>
      </c>
      <c r="B675" t="inlineStr">
        <is>
          <t>352940</t>
        </is>
      </c>
      <c r="C675" t="inlineStr">
        <is>
          <t>지배주주순이익</t>
        </is>
      </c>
      <c r="D675" t="inlineStr">
        <is>
          <t>전년 연간</t>
        </is>
      </c>
      <c r="E675" s="3" t="n">
        <v>1007310092</v>
      </c>
      <c r="F675" t="inlineStr"/>
      <c r="I675" t="inlineStr">
        <is>
          <t>20260318000963</t>
        </is>
      </c>
      <c r="J675" s="4" t="inlineStr">
        <is>
          <t>열기</t>
        </is>
      </c>
    </row>
    <row r="676">
      <c r="A676" t="inlineStr">
        <is>
          <t>인바이오</t>
        </is>
      </c>
      <c r="B676" t="inlineStr">
        <is>
          <t>352940</t>
        </is>
      </c>
      <c r="C676" t="inlineStr">
        <is>
          <t>지배주주순이익</t>
        </is>
      </c>
      <c r="D676" t="inlineStr">
        <is>
          <t>전년 동기 YTD</t>
        </is>
      </c>
      <c r="E676" s="3" t="n">
        <v>2597793602</v>
      </c>
      <c r="F676" t="inlineStr"/>
      <c r="I676" t="inlineStr">
        <is>
          <t>20250813000608</t>
        </is>
      </c>
      <c r="J676" s="4" t="inlineStr">
        <is>
          <t>열기</t>
        </is>
      </c>
    </row>
    <row r="677">
      <c r="A677" t="inlineStr">
        <is>
          <t>인바이오</t>
        </is>
      </c>
      <c r="B677" t="inlineStr">
        <is>
          <t>352940</t>
        </is>
      </c>
      <c r="C677" t="inlineStr">
        <is>
          <t>당기순이익</t>
        </is>
      </c>
      <c r="D677" t="inlineStr">
        <is>
          <t>당기 YTD</t>
        </is>
      </c>
      <c r="E677" s="3" t="n">
        <v>2165012133</v>
      </c>
      <c r="F677" t="inlineStr">
        <is>
          <t>id</t>
        </is>
      </c>
      <c r="G677" t="inlineStr">
        <is>
          <t>ifrs-full_ProfitLoss</t>
        </is>
      </c>
      <c r="H677" t="inlineStr">
        <is>
          <t>당기순이익(손실)</t>
        </is>
      </c>
      <c r="I677" t="inlineStr">
        <is>
          <t>20260813000903</t>
        </is>
      </c>
      <c r="J677" s="4" t="inlineStr">
        <is>
          <t>열기</t>
        </is>
      </c>
    </row>
    <row r="678">
      <c r="A678" t="inlineStr">
        <is>
          <t>인바이오</t>
        </is>
      </c>
      <c r="B678" t="inlineStr">
        <is>
          <t>352940</t>
        </is>
      </c>
      <c r="C678" t="inlineStr">
        <is>
          <t>당기순이익</t>
        </is>
      </c>
      <c r="D678" t="inlineStr">
        <is>
          <t>전년 연간</t>
        </is>
      </c>
      <c r="E678" s="3" t="n">
        <v>1007310092</v>
      </c>
      <c r="F678" t="inlineStr"/>
      <c r="I678" t="inlineStr">
        <is>
          <t>20260318000963</t>
        </is>
      </c>
      <c r="J678" s="4" t="inlineStr">
        <is>
          <t>열기</t>
        </is>
      </c>
    </row>
    <row r="679">
      <c r="A679" t="inlineStr">
        <is>
          <t>인바이오</t>
        </is>
      </c>
      <c r="B679" t="inlineStr">
        <is>
          <t>352940</t>
        </is>
      </c>
      <c r="C679" t="inlineStr">
        <is>
          <t>당기순이익</t>
        </is>
      </c>
      <c r="D679" t="inlineStr">
        <is>
          <t>전년 동기 YTD</t>
        </is>
      </c>
      <c r="E679" s="3" t="n">
        <v>2597793602</v>
      </c>
      <c r="F679" t="inlineStr"/>
      <c r="I679" t="inlineStr">
        <is>
          <t>20250813000608</t>
        </is>
      </c>
      <c r="J679" s="4" t="inlineStr">
        <is>
          <t>열기</t>
        </is>
      </c>
    </row>
    <row r="680">
      <c r="A680" t="inlineStr">
        <is>
          <t>인바이오</t>
        </is>
      </c>
      <c r="B680" t="inlineStr">
        <is>
          <t>352940</t>
        </is>
      </c>
      <c r="C680" t="inlineStr">
        <is>
          <t>매출액</t>
        </is>
      </c>
      <c r="D680" t="inlineStr">
        <is>
          <t>당기 YTD</t>
        </is>
      </c>
      <c r="E680" s="3" t="n">
        <v>24585484643</v>
      </c>
      <c r="F680" t="inlineStr">
        <is>
          <t>id</t>
        </is>
      </c>
      <c r="G680" t="inlineStr">
        <is>
          <t>ifrs-full_Revenue</t>
        </is>
      </c>
      <c r="H680" t="inlineStr">
        <is>
          <t>I. 매출액</t>
        </is>
      </c>
      <c r="I680" t="inlineStr">
        <is>
          <t>20260813000903</t>
        </is>
      </c>
      <c r="J680" s="4" t="inlineStr">
        <is>
          <t>열기</t>
        </is>
      </c>
    </row>
    <row r="681">
      <c r="A681" t="inlineStr">
        <is>
          <t>인바이오</t>
        </is>
      </c>
      <c r="B681" t="inlineStr">
        <is>
          <t>352940</t>
        </is>
      </c>
      <c r="C681" t="inlineStr">
        <is>
          <t>매출액</t>
        </is>
      </c>
      <c r="D681" t="inlineStr">
        <is>
          <t>전년 연간</t>
        </is>
      </c>
      <c r="E681" s="3" t="n">
        <v>33952962076</v>
      </c>
      <c r="F681" t="inlineStr"/>
      <c r="I681" t="inlineStr">
        <is>
          <t>20260318000963</t>
        </is>
      </c>
      <c r="J681" s="4" t="inlineStr">
        <is>
          <t>열기</t>
        </is>
      </c>
    </row>
    <row r="682">
      <c r="A682" t="inlineStr">
        <is>
          <t>인바이오</t>
        </is>
      </c>
      <c r="B682" t="inlineStr">
        <is>
          <t>352940</t>
        </is>
      </c>
      <c r="C682" t="inlineStr">
        <is>
          <t>매출액</t>
        </is>
      </c>
      <c r="D682" t="inlineStr">
        <is>
          <t>전년 동기 YTD</t>
        </is>
      </c>
      <c r="E682" s="3" t="n">
        <v>22355656037</v>
      </c>
      <c r="F682" t="inlineStr"/>
      <c r="I682" t="inlineStr">
        <is>
          <t>20250813000608</t>
        </is>
      </c>
      <c r="J682" s="4" t="inlineStr">
        <is>
          <t>열기</t>
        </is>
      </c>
    </row>
    <row r="683">
      <c r="A683" t="inlineStr">
        <is>
          <t>인바이오</t>
        </is>
      </c>
      <c r="B683" t="inlineStr">
        <is>
          <t>352940</t>
        </is>
      </c>
      <c r="C683" t="inlineStr">
        <is>
          <t>매출총이익</t>
        </is>
      </c>
      <c r="D683" t="inlineStr">
        <is>
          <t>당기 YTD</t>
        </is>
      </c>
      <c r="E683" s="3" t="n">
        <v>10977215662</v>
      </c>
      <c r="F683" t="inlineStr">
        <is>
          <t>id</t>
        </is>
      </c>
      <c r="G683" t="inlineStr">
        <is>
          <t>ifrs-full_GrossProfit</t>
        </is>
      </c>
      <c r="H683" t="inlineStr">
        <is>
          <t>III. 매출총이익</t>
        </is>
      </c>
      <c r="I683" t="inlineStr">
        <is>
          <t>20260813000903</t>
        </is>
      </c>
      <c r="J683" s="4" t="inlineStr">
        <is>
          <t>열기</t>
        </is>
      </c>
    </row>
    <row r="684">
      <c r="A684" t="inlineStr">
        <is>
          <t>인바이오</t>
        </is>
      </c>
      <c r="B684" t="inlineStr">
        <is>
          <t>352940</t>
        </is>
      </c>
      <c r="C684" t="inlineStr">
        <is>
          <t>매출총이익</t>
        </is>
      </c>
      <c r="D684" t="inlineStr">
        <is>
          <t>전년 연간</t>
        </is>
      </c>
      <c r="E684" s="3" t="n">
        <v>11806665529</v>
      </c>
      <c r="F684" t="inlineStr"/>
      <c r="I684" t="inlineStr">
        <is>
          <t>20260318000963</t>
        </is>
      </c>
      <c r="J684" s="4" t="inlineStr">
        <is>
          <t>열기</t>
        </is>
      </c>
    </row>
    <row r="685">
      <c r="A685" t="inlineStr">
        <is>
          <t>인바이오</t>
        </is>
      </c>
      <c r="B685" t="inlineStr">
        <is>
          <t>352940</t>
        </is>
      </c>
      <c r="C685" t="inlineStr">
        <is>
          <t>매출총이익</t>
        </is>
      </c>
      <c r="D685" t="inlineStr">
        <is>
          <t>전년 동기 YTD</t>
        </is>
      </c>
      <c r="E685" s="3" t="n">
        <v>8685381071</v>
      </c>
      <c r="F685" t="inlineStr"/>
      <c r="I685" t="inlineStr">
        <is>
          <t>20250813000608</t>
        </is>
      </c>
      <c r="J685" s="4" t="inlineStr">
        <is>
          <t>열기</t>
        </is>
      </c>
    </row>
    <row r="686">
      <c r="A686" t="inlineStr">
        <is>
          <t>인바이오</t>
        </is>
      </c>
      <c r="B686" t="inlineStr">
        <is>
          <t>352940</t>
        </is>
      </c>
      <c r="C686" t="inlineStr">
        <is>
          <t>영업이익</t>
        </is>
      </c>
      <c r="D686" t="inlineStr">
        <is>
          <t>당기 YTD</t>
        </is>
      </c>
      <c r="E686" s="3" t="n">
        <v>3301178415</v>
      </c>
      <c r="F686" t="inlineStr">
        <is>
          <t>id</t>
        </is>
      </c>
      <c r="G686" t="inlineStr">
        <is>
          <t>dart_OperatingIncomeLoss</t>
        </is>
      </c>
      <c r="H686" t="inlineStr">
        <is>
          <t>V. 영업손익</t>
        </is>
      </c>
      <c r="I686" t="inlineStr">
        <is>
          <t>20260813000903</t>
        </is>
      </c>
      <c r="J686" s="4" t="inlineStr">
        <is>
          <t>열기</t>
        </is>
      </c>
    </row>
    <row r="687">
      <c r="A687" t="inlineStr">
        <is>
          <t>인바이오</t>
        </is>
      </c>
      <c r="B687" t="inlineStr">
        <is>
          <t>352940</t>
        </is>
      </c>
      <c r="C687" t="inlineStr">
        <is>
          <t>영업이익</t>
        </is>
      </c>
      <c r="D687" t="inlineStr">
        <is>
          <t>전년 연간</t>
        </is>
      </c>
      <c r="E687" s="3" t="n">
        <v>917421524</v>
      </c>
      <c r="F687" t="inlineStr"/>
      <c r="I687" t="inlineStr">
        <is>
          <t>20260318000963</t>
        </is>
      </c>
      <c r="J687" s="4" t="inlineStr">
        <is>
          <t>열기</t>
        </is>
      </c>
    </row>
    <row r="688">
      <c r="A688" t="inlineStr">
        <is>
          <t>인바이오</t>
        </is>
      </c>
      <c r="B688" t="inlineStr">
        <is>
          <t>352940</t>
        </is>
      </c>
      <c r="C688" t="inlineStr">
        <is>
          <t>영업이익</t>
        </is>
      </c>
      <c r="D688" t="inlineStr">
        <is>
          <t>전년 동기 YTD</t>
        </is>
      </c>
      <c r="E688" s="3" t="n">
        <v>2988155561</v>
      </c>
      <c r="F688" t="inlineStr"/>
      <c r="I688" t="inlineStr">
        <is>
          <t>20250813000608</t>
        </is>
      </c>
      <c r="J688" s="4" t="inlineStr">
        <is>
          <t>열기</t>
        </is>
      </c>
    </row>
    <row r="689">
      <c r="A689" t="inlineStr">
        <is>
          <t>인바이오</t>
        </is>
      </c>
      <c r="B689" t="inlineStr">
        <is>
          <t>352940</t>
        </is>
      </c>
      <c r="C689" t="inlineStr">
        <is>
          <t>영업현금흐름</t>
        </is>
      </c>
      <c r="D689" t="inlineStr">
        <is>
          <t>당기 YTD</t>
        </is>
      </c>
      <c r="E689" s="3" t="n">
        <v>-4911838525</v>
      </c>
      <c r="F689" t="inlineStr">
        <is>
          <t>id</t>
        </is>
      </c>
      <c r="G689" t="inlineStr">
        <is>
          <t>ifrs-full_CashFlowsFromUsedInOperatingActivities</t>
        </is>
      </c>
      <c r="H689" t="inlineStr">
        <is>
          <t>I. 영업활동으로 인한 현금흐름</t>
        </is>
      </c>
      <c r="I689" t="inlineStr">
        <is>
          <t>20260813000903</t>
        </is>
      </c>
      <c r="J689" s="4" t="inlineStr">
        <is>
          <t>열기</t>
        </is>
      </c>
    </row>
    <row r="690">
      <c r="A690" t="inlineStr">
        <is>
          <t>인바이오</t>
        </is>
      </c>
      <c r="B690" t="inlineStr">
        <is>
          <t>352940</t>
        </is>
      </c>
      <c r="C690" t="inlineStr">
        <is>
          <t>영업현금흐름</t>
        </is>
      </c>
      <c r="D690" t="inlineStr">
        <is>
          <t>전년 연간</t>
        </is>
      </c>
      <c r="E690" s="3" t="n">
        <v>9087571309</v>
      </c>
      <c r="F690" t="inlineStr"/>
      <c r="I690" t="inlineStr">
        <is>
          <t>20260318000963</t>
        </is>
      </c>
      <c r="J690" s="4" t="inlineStr">
        <is>
          <t>열기</t>
        </is>
      </c>
    </row>
    <row r="691">
      <c r="A691" t="inlineStr">
        <is>
          <t>인바이오</t>
        </is>
      </c>
      <c r="B691" t="inlineStr">
        <is>
          <t>352940</t>
        </is>
      </c>
      <c r="C691" t="inlineStr">
        <is>
          <t>영업현금흐름</t>
        </is>
      </c>
      <c r="D691" t="inlineStr">
        <is>
          <t>전년 동기 YTD</t>
        </is>
      </c>
      <c r="E691" s="3" t="n">
        <v>-854294738</v>
      </c>
      <c r="F691" t="inlineStr"/>
      <c r="I691" t="inlineStr">
        <is>
          <t>20250813000608</t>
        </is>
      </c>
      <c r="J691" s="4" t="inlineStr">
        <is>
          <t>열기</t>
        </is>
      </c>
    </row>
    <row r="692">
      <c r="A692" t="inlineStr">
        <is>
          <t>인바이오</t>
        </is>
      </c>
      <c r="B692" t="inlineStr">
        <is>
          <t>352940</t>
        </is>
      </c>
      <c r="C692" t="inlineStr">
        <is>
          <t>지배주주자본</t>
        </is>
      </c>
      <c r="D692" t="inlineStr">
        <is>
          <t>당기말</t>
        </is>
      </c>
      <c r="E692" s="3" t="n">
        <v>44522721590</v>
      </c>
      <c r="F692" t="inlineStr">
        <is>
          <t>separate_only</t>
        </is>
      </c>
      <c r="G692" t="inlineStr">
        <is>
          <t>ifrs-full_Equity</t>
        </is>
      </c>
      <c r="H692" t="inlineStr">
        <is>
          <t>자본총계</t>
        </is>
      </c>
      <c r="I692" t="inlineStr">
        <is>
          <t>20260813000903</t>
        </is>
      </c>
      <c r="J692" s="4" t="inlineStr">
        <is>
          <t>열기</t>
        </is>
      </c>
    </row>
    <row r="693">
      <c r="A693" t="inlineStr">
        <is>
          <t>인바이오</t>
        </is>
      </c>
      <c r="B693" t="inlineStr">
        <is>
          <t>352940</t>
        </is>
      </c>
      <c r="C693" t="inlineStr">
        <is>
          <t>지배주주자본</t>
        </is>
      </c>
      <c r="D693" t="inlineStr">
        <is>
          <t>전년 동기말</t>
        </is>
      </c>
      <c r="E693" s="3" t="n">
        <v>43969517308</v>
      </c>
      <c r="F693" t="inlineStr"/>
      <c r="I693" t="inlineStr">
        <is>
          <t>20250813000608</t>
        </is>
      </c>
      <c r="J693" s="4" t="inlineStr">
        <is>
          <t>열기</t>
        </is>
      </c>
    </row>
    <row r="694">
      <c r="A694" t="inlineStr">
        <is>
          <t>인바이오</t>
        </is>
      </c>
      <c r="B694" t="inlineStr">
        <is>
          <t>352940</t>
        </is>
      </c>
      <c r="C694" t="inlineStr">
        <is>
          <t>자산총계</t>
        </is>
      </c>
      <c r="D694" t="inlineStr">
        <is>
          <t>당기말</t>
        </is>
      </c>
      <c r="E694" s="3" t="n">
        <v>78879794864</v>
      </c>
      <c r="F694" t="inlineStr">
        <is>
          <t>id</t>
        </is>
      </c>
      <c r="G694" t="inlineStr">
        <is>
          <t>ifrs-full_Assets</t>
        </is>
      </c>
      <c r="H694" t="inlineStr">
        <is>
          <t>자산총계</t>
        </is>
      </c>
      <c r="I694" t="inlineStr">
        <is>
          <t>20260813000903</t>
        </is>
      </c>
      <c r="J694" s="4" t="inlineStr">
        <is>
          <t>열기</t>
        </is>
      </c>
    </row>
    <row r="695">
      <c r="A695" t="inlineStr">
        <is>
          <t>인바이오</t>
        </is>
      </c>
      <c r="B695" t="inlineStr">
        <is>
          <t>352940</t>
        </is>
      </c>
      <c r="C695" t="inlineStr">
        <is>
          <t>자산총계</t>
        </is>
      </c>
      <c r="D695" t="inlineStr">
        <is>
          <t>전년 동기말</t>
        </is>
      </c>
      <c r="E695" s="3" t="n">
        <v>69897618335</v>
      </c>
      <c r="F695" t="inlineStr"/>
      <c r="I695" t="inlineStr">
        <is>
          <t>20250813000608</t>
        </is>
      </c>
      <c r="J695" s="4" t="inlineStr">
        <is>
          <t>열기</t>
        </is>
      </c>
    </row>
    <row r="696">
      <c r="A696" t="inlineStr">
        <is>
          <t>인바이오</t>
        </is>
      </c>
      <c r="B696" t="inlineStr">
        <is>
          <t>352940</t>
        </is>
      </c>
      <c r="C696" t="inlineStr">
        <is>
          <t>이자부부채</t>
        </is>
      </c>
      <c r="D696" t="inlineStr">
        <is>
          <t>당기말</t>
        </is>
      </c>
      <c r="E696" s="3" t="n">
        <v>24471546790</v>
      </c>
      <c r="F696" t="inlineStr">
        <is>
          <t>id</t>
        </is>
      </c>
      <c r="G696" t="inlineStr">
        <is>
          <t>ifrs-full_CurrentLeaseLiabilities + ifrs-full_CurrentPortionOfLongtermBorrowings + ifrs-full_ShorttermBorrowings + dart_LongTermBorrowingsGross + ifrs-full_NoncurrentLeaseLiabilities</t>
        </is>
      </c>
      <c r="H696" t="inlineStr">
        <is>
          <t>리스부채(유동) + 유동성장기부채 + 단기차입금 + 장기차입금 + 리스부채(비유동)</t>
        </is>
      </c>
      <c r="I696" t="inlineStr">
        <is>
          <t>20260813000903</t>
        </is>
      </c>
      <c r="J696" s="4" t="inlineStr">
        <is>
          <t>열기</t>
        </is>
      </c>
    </row>
    <row r="697">
      <c r="A697" t="inlineStr">
        <is>
          <t>인바이오</t>
        </is>
      </c>
      <c r="B697" t="inlineStr">
        <is>
          <t>352940</t>
        </is>
      </c>
      <c r="C697" t="inlineStr">
        <is>
          <t>이자부부채</t>
        </is>
      </c>
      <c r="D697" t="inlineStr">
        <is>
          <t>전년 동기말</t>
        </is>
      </c>
      <c r="E697" s="3" t="n">
        <v>16398587603</v>
      </c>
      <c r="F697" t="inlineStr"/>
      <c r="I697" t="inlineStr">
        <is>
          <t>20250813000608</t>
        </is>
      </c>
      <c r="J697" s="4" t="inlineStr">
        <is>
          <t>열기</t>
        </is>
      </c>
    </row>
    <row r="698">
      <c r="A698" t="inlineStr">
        <is>
          <t>인바이오</t>
        </is>
      </c>
      <c r="B698" t="inlineStr">
        <is>
          <t>352940</t>
        </is>
      </c>
      <c r="C698" t="inlineStr">
        <is>
          <t>현금성자산</t>
        </is>
      </c>
      <c r="D698" t="inlineStr">
        <is>
          <t>당기말</t>
        </is>
      </c>
      <c r="E698" s="3" t="n">
        <v>2512353378</v>
      </c>
      <c r="F698" t="inlineStr">
        <is>
          <t>id</t>
        </is>
      </c>
      <c r="G698" t="inlineStr">
        <is>
          <t>ifrs-full_CashAndCashEquivalents</t>
        </is>
      </c>
      <c r="H698" t="inlineStr">
        <is>
          <t>현금및현금성자산</t>
        </is>
      </c>
      <c r="I698" t="inlineStr">
        <is>
          <t>20260813000903</t>
        </is>
      </c>
      <c r="J698" s="4" t="inlineStr">
        <is>
          <t>열기</t>
        </is>
      </c>
    </row>
    <row r="699">
      <c r="A699" t="inlineStr">
        <is>
          <t>인바이오</t>
        </is>
      </c>
      <c r="B699" t="inlineStr">
        <is>
          <t>352940</t>
        </is>
      </c>
      <c r="C699" t="inlineStr">
        <is>
          <t>현금성자산</t>
        </is>
      </c>
      <c r="D699" t="inlineStr">
        <is>
          <t>전년 동기말</t>
        </is>
      </c>
      <c r="E699" s="3" t="n">
        <v>764667310</v>
      </c>
      <c r="F699" t="inlineStr"/>
      <c r="I699" t="inlineStr">
        <is>
          <t>20250813000608</t>
        </is>
      </c>
      <c r="J699" s="4" t="inlineStr">
        <is>
          <t>열기</t>
        </is>
      </c>
    </row>
    <row r="700">
      <c r="A700" t="inlineStr">
        <is>
          <t>인바이오</t>
        </is>
      </c>
      <c r="B700" t="inlineStr">
        <is>
          <t>352940</t>
        </is>
      </c>
      <c r="C700" t="inlineStr">
        <is>
          <t>단기금융상품</t>
        </is>
      </c>
      <c r="D700" t="inlineStr">
        <is>
          <t>당기말</t>
        </is>
      </c>
      <c r="E700" s="3" t="n">
        <v>0</v>
      </c>
      <c r="F700" t="inlineStr">
        <is>
          <t>zero_default</t>
        </is>
      </c>
      <c r="I700" t="inlineStr">
        <is>
          <t>20260813000903</t>
        </is>
      </c>
      <c r="J700" s="4" t="inlineStr">
        <is>
          <t>열기</t>
        </is>
      </c>
    </row>
    <row r="701">
      <c r="A701" t="inlineStr">
        <is>
          <t>인바이오</t>
        </is>
      </c>
      <c r="B701" t="inlineStr">
        <is>
          <t>352940</t>
        </is>
      </c>
      <c r="C701" t="inlineStr">
        <is>
          <t>단기금융상품</t>
        </is>
      </c>
      <c r="D701" t="inlineStr">
        <is>
          <t>전년 동기말</t>
        </is>
      </c>
      <c r="E701" s="3" t="n">
        <v>0</v>
      </c>
      <c r="F701" t="inlineStr"/>
      <c r="I701" t="inlineStr">
        <is>
          <t>20250813000608</t>
        </is>
      </c>
      <c r="J701" s="4" t="inlineStr">
        <is>
          <t>열기</t>
        </is>
      </c>
    </row>
  </sheetData>
  <hyperlinks>
    <hyperlink xmlns:r="http://schemas.openxmlformats.org/officeDocument/2006/relationships" ref="J2" r:id="rId1"/>
    <hyperlink xmlns:r="http://schemas.openxmlformats.org/officeDocument/2006/relationships" ref="J3" r:id="rId2"/>
    <hyperlink xmlns:r="http://schemas.openxmlformats.org/officeDocument/2006/relationships" ref="J4" r:id="rId3"/>
    <hyperlink xmlns:r="http://schemas.openxmlformats.org/officeDocument/2006/relationships" ref="J5" r:id="rId4"/>
    <hyperlink xmlns:r="http://schemas.openxmlformats.org/officeDocument/2006/relationships" ref="J6" r:id="rId5"/>
    <hyperlink xmlns:r="http://schemas.openxmlformats.org/officeDocument/2006/relationships" ref="J7" r:id="rId6"/>
    <hyperlink xmlns:r="http://schemas.openxmlformats.org/officeDocument/2006/relationships" ref="J8" r:id="rId7"/>
    <hyperlink xmlns:r="http://schemas.openxmlformats.org/officeDocument/2006/relationships" ref="J9" r:id="rId8"/>
    <hyperlink xmlns:r="http://schemas.openxmlformats.org/officeDocument/2006/relationships" ref="J10" r:id="rId9"/>
    <hyperlink xmlns:r="http://schemas.openxmlformats.org/officeDocument/2006/relationships" ref="J11" r:id="rId10"/>
    <hyperlink xmlns:r="http://schemas.openxmlformats.org/officeDocument/2006/relationships" ref="J12" r:id="rId11"/>
    <hyperlink xmlns:r="http://schemas.openxmlformats.org/officeDocument/2006/relationships" ref="J13" r:id="rId12"/>
    <hyperlink xmlns:r="http://schemas.openxmlformats.org/officeDocument/2006/relationships" ref="J14" r:id="rId13"/>
    <hyperlink xmlns:r="http://schemas.openxmlformats.org/officeDocument/2006/relationships" ref="J15" r:id="rId14"/>
    <hyperlink xmlns:r="http://schemas.openxmlformats.org/officeDocument/2006/relationships" ref="J16" r:id="rId15"/>
    <hyperlink xmlns:r="http://schemas.openxmlformats.org/officeDocument/2006/relationships" ref="J17" r:id="rId16"/>
    <hyperlink xmlns:r="http://schemas.openxmlformats.org/officeDocument/2006/relationships" ref="J18" r:id="rId17"/>
    <hyperlink xmlns:r="http://schemas.openxmlformats.org/officeDocument/2006/relationships" ref="J19" r:id="rId18"/>
    <hyperlink xmlns:r="http://schemas.openxmlformats.org/officeDocument/2006/relationships" ref="J20" r:id="rId19"/>
    <hyperlink xmlns:r="http://schemas.openxmlformats.org/officeDocument/2006/relationships" ref="J21" r:id="rId20"/>
    <hyperlink xmlns:r="http://schemas.openxmlformats.org/officeDocument/2006/relationships" ref="J22" r:id="rId21"/>
    <hyperlink xmlns:r="http://schemas.openxmlformats.org/officeDocument/2006/relationships" ref="J23" r:id="rId22"/>
    <hyperlink xmlns:r="http://schemas.openxmlformats.org/officeDocument/2006/relationships" ref="J24" r:id="rId23"/>
    <hyperlink xmlns:r="http://schemas.openxmlformats.org/officeDocument/2006/relationships" ref="J25" r:id="rId24"/>
    <hyperlink xmlns:r="http://schemas.openxmlformats.org/officeDocument/2006/relationships" ref="J26" r:id="rId25"/>
    <hyperlink xmlns:r="http://schemas.openxmlformats.org/officeDocument/2006/relationships" ref="J27" r:id="rId26"/>
    <hyperlink xmlns:r="http://schemas.openxmlformats.org/officeDocument/2006/relationships" ref="J28" r:id="rId27"/>
    <hyperlink xmlns:r="http://schemas.openxmlformats.org/officeDocument/2006/relationships" ref="J29" r:id="rId28"/>
    <hyperlink xmlns:r="http://schemas.openxmlformats.org/officeDocument/2006/relationships" ref="J30" r:id="rId29"/>
    <hyperlink xmlns:r="http://schemas.openxmlformats.org/officeDocument/2006/relationships" ref="J31" r:id="rId30"/>
    <hyperlink xmlns:r="http://schemas.openxmlformats.org/officeDocument/2006/relationships" ref="J32" r:id="rId31"/>
    <hyperlink xmlns:r="http://schemas.openxmlformats.org/officeDocument/2006/relationships" ref="J33" r:id="rId32"/>
    <hyperlink xmlns:r="http://schemas.openxmlformats.org/officeDocument/2006/relationships" ref="J34" r:id="rId33"/>
    <hyperlink xmlns:r="http://schemas.openxmlformats.org/officeDocument/2006/relationships" ref="J35" r:id="rId34"/>
    <hyperlink xmlns:r="http://schemas.openxmlformats.org/officeDocument/2006/relationships" ref="J36" r:id="rId35"/>
    <hyperlink xmlns:r="http://schemas.openxmlformats.org/officeDocument/2006/relationships" ref="J37" r:id="rId36"/>
    <hyperlink xmlns:r="http://schemas.openxmlformats.org/officeDocument/2006/relationships" ref="J38" r:id="rId37"/>
    <hyperlink xmlns:r="http://schemas.openxmlformats.org/officeDocument/2006/relationships" ref="J39" r:id="rId38"/>
    <hyperlink xmlns:r="http://schemas.openxmlformats.org/officeDocument/2006/relationships" ref="J40" r:id="rId39"/>
    <hyperlink xmlns:r="http://schemas.openxmlformats.org/officeDocument/2006/relationships" ref="J41" r:id="rId40"/>
    <hyperlink xmlns:r="http://schemas.openxmlformats.org/officeDocument/2006/relationships" ref="J42" r:id="rId41"/>
    <hyperlink xmlns:r="http://schemas.openxmlformats.org/officeDocument/2006/relationships" ref="J43" r:id="rId42"/>
    <hyperlink xmlns:r="http://schemas.openxmlformats.org/officeDocument/2006/relationships" ref="J44" r:id="rId43"/>
    <hyperlink xmlns:r="http://schemas.openxmlformats.org/officeDocument/2006/relationships" ref="J45" r:id="rId44"/>
    <hyperlink xmlns:r="http://schemas.openxmlformats.org/officeDocument/2006/relationships" ref="J46" r:id="rId45"/>
    <hyperlink xmlns:r="http://schemas.openxmlformats.org/officeDocument/2006/relationships" ref="J47" r:id="rId46"/>
    <hyperlink xmlns:r="http://schemas.openxmlformats.org/officeDocument/2006/relationships" ref="J48" r:id="rId47"/>
    <hyperlink xmlns:r="http://schemas.openxmlformats.org/officeDocument/2006/relationships" ref="J49" r:id="rId48"/>
    <hyperlink xmlns:r="http://schemas.openxmlformats.org/officeDocument/2006/relationships" ref="J50" r:id="rId49"/>
    <hyperlink xmlns:r="http://schemas.openxmlformats.org/officeDocument/2006/relationships" ref="J51" r:id="rId50"/>
    <hyperlink xmlns:r="http://schemas.openxmlformats.org/officeDocument/2006/relationships" ref="J52" r:id="rId51"/>
    <hyperlink xmlns:r="http://schemas.openxmlformats.org/officeDocument/2006/relationships" ref="J53" r:id="rId52"/>
    <hyperlink xmlns:r="http://schemas.openxmlformats.org/officeDocument/2006/relationships" ref="J54" r:id="rId53"/>
    <hyperlink xmlns:r="http://schemas.openxmlformats.org/officeDocument/2006/relationships" ref="J55" r:id="rId54"/>
    <hyperlink xmlns:r="http://schemas.openxmlformats.org/officeDocument/2006/relationships" ref="J56" r:id="rId55"/>
    <hyperlink xmlns:r="http://schemas.openxmlformats.org/officeDocument/2006/relationships" ref="J57" r:id="rId56"/>
    <hyperlink xmlns:r="http://schemas.openxmlformats.org/officeDocument/2006/relationships" ref="J58" r:id="rId57"/>
    <hyperlink xmlns:r="http://schemas.openxmlformats.org/officeDocument/2006/relationships" ref="J59" r:id="rId58"/>
    <hyperlink xmlns:r="http://schemas.openxmlformats.org/officeDocument/2006/relationships" ref="J60" r:id="rId59"/>
    <hyperlink xmlns:r="http://schemas.openxmlformats.org/officeDocument/2006/relationships" ref="J61" r:id="rId60"/>
    <hyperlink xmlns:r="http://schemas.openxmlformats.org/officeDocument/2006/relationships" ref="J62" r:id="rId61"/>
    <hyperlink xmlns:r="http://schemas.openxmlformats.org/officeDocument/2006/relationships" ref="J63" r:id="rId62"/>
    <hyperlink xmlns:r="http://schemas.openxmlformats.org/officeDocument/2006/relationships" ref="J64" r:id="rId63"/>
    <hyperlink xmlns:r="http://schemas.openxmlformats.org/officeDocument/2006/relationships" ref="J65" r:id="rId64"/>
    <hyperlink xmlns:r="http://schemas.openxmlformats.org/officeDocument/2006/relationships" ref="J66" r:id="rId65"/>
    <hyperlink xmlns:r="http://schemas.openxmlformats.org/officeDocument/2006/relationships" ref="J67" r:id="rId66"/>
    <hyperlink xmlns:r="http://schemas.openxmlformats.org/officeDocument/2006/relationships" ref="J68" r:id="rId67"/>
    <hyperlink xmlns:r="http://schemas.openxmlformats.org/officeDocument/2006/relationships" ref="J69" r:id="rId68"/>
    <hyperlink xmlns:r="http://schemas.openxmlformats.org/officeDocument/2006/relationships" ref="J70" r:id="rId69"/>
    <hyperlink xmlns:r="http://schemas.openxmlformats.org/officeDocument/2006/relationships" ref="J71" r:id="rId70"/>
    <hyperlink xmlns:r="http://schemas.openxmlformats.org/officeDocument/2006/relationships" ref="J72" r:id="rId71"/>
    <hyperlink xmlns:r="http://schemas.openxmlformats.org/officeDocument/2006/relationships" ref="J73" r:id="rId72"/>
    <hyperlink xmlns:r="http://schemas.openxmlformats.org/officeDocument/2006/relationships" ref="J74" r:id="rId73"/>
    <hyperlink xmlns:r="http://schemas.openxmlformats.org/officeDocument/2006/relationships" ref="J75" r:id="rId74"/>
    <hyperlink xmlns:r="http://schemas.openxmlformats.org/officeDocument/2006/relationships" ref="J76" r:id="rId75"/>
    <hyperlink xmlns:r="http://schemas.openxmlformats.org/officeDocument/2006/relationships" ref="J77" r:id="rId76"/>
    <hyperlink xmlns:r="http://schemas.openxmlformats.org/officeDocument/2006/relationships" ref="J78" r:id="rId77"/>
    <hyperlink xmlns:r="http://schemas.openxmlformats.org/officeDocument/2006/relationships" ref="J79" r:id="rId78"/>
    <hyperlink xmlns:r="http://schemas.openxmlformats.org/officeDocument/2006/relationships" ref="J80" r:id="rId79"/>
    <hyperlink xmlns:r="http://schemas.openxmlformats.org/officeDocument/2006/relationships" ref="J81" r:id="rId80"/>
    <hyperlink xmlns:r="http://schemas.openxmlformats.org/officeDocument/2006/relationships" ref="J82" r:id="rId81"/>
    <hyperlink xmlns:r="http://schemas.openxmlformats.org/officeDocument/2006/relationships" ref="J83" r:id="rId82"/>
    <hyperlink xmlns:r="http://schemas.openxmlformats.org/officeDocument/2006/relationships" ref="J84" r:id="rId83"/>
    <hyperlink xmlns:r="http://schemas.openxmlformats.org/officeDocument/2006/relationships" ref="J85" r:id="rId84"/>
    <hyperlink xmlns:r="http://schemas.openxmlformats.org/officeDocument/2006/relationships" ref="J86" r:id="rId85"/>
    <hyperlink xmlns:r="http://schemas.openxmlformats.org/officeDocument/2006/relationships" ref="J87" r:id="rId86"/>
    <hyperlink xmlns:r="http://schemas.openxmlformats.org/officeDocument/2006/relationships" ref="J88" r:id="rId87"/>
    <hyperlink xmlns:r="http://schemas.openxmlformats.org/officeDocument/2006/relationships" ref="J89" r:id="rId88"/>
    <hyperlink xmlns:r="http://schemas.openxmlformats.org/officeDocument/2006/relationships" ref="J90" r:id="rId89"/>
    <hyperlink xmlns:r="http://schemas.openxmlformats.org/officeDocument/2006/relationships" ref="J91" r:id="rId90"/>
    <hyperlink xmlns:r="http://schemas.openxmlformats.org/officeDocument/2006/relationships" ref="J92" r:id="rId91"/>
    <hyperlink xmlns:r="http://schemas.openxmlformats.org/officeDocument/2006/relationships" ref="J93" r:id="rId92"/>
    <hyperlink xmlns:r="http://schemas.openxmlformats.org/officeDocument/2006/relationships" ref="J94" r:id="rId93"/>
    <hyperlink xmlns:r="http://schemas.openxmlformats.org/officeDocument/2006/relationships" ref="J95" r:id="rId94"/>
    <hyperlink xmlns:r="http://schemas.openxmlformats.org/officeDocument/2006/relationships" ref="J96" r:id="rId95"/>
    <hyperlink xmlns:r="http://schemas.openxmlformats.org/officeDocument/2006/relationships" ref="J97" r:id="rId96"/>
    <hyperlink xmlns:r="http://schemas.openxmlformats.org/officeDocument/2006/relationships" ref="J98" r:id="rId97"/>
    <hyperlink xmlns:r="http://schemas.openxmlformats.org/officeDocument/2006/relationships" ref="J99" r:id="rId98"/>
    <hyperlink xmlns:r="http://schemas.openxmlformats.org/officeDocument/2006/relationships" ref="J100" r:id="rId99"/>
    <hyperlink xmlns:r="http://schemas.openxmlformats.org/officeDocument/2006/relationships" ref="J101" r:id="rId100"/>
    <hyperlink xmlns:r="http://schemas.openxmlformats.org/officeDocument/2006/relationships" ref="J102" r:id="rId101"/>
    <hyperlink xmlns:r="http://schemas.openxmlformats.org/officeDocument/2006/relationships" ref="J103" r:id="rId102"/>
    <hyperlink xmlns:r="http://schemas.openxmlformats.org/officeDocument/2006/relationships" ref="J104" r:id="rId103"/>
    <hyperlink xmlns:r="http://schemas.openxmlformats.org/officeDocument/2006/relationships" ref="J105" r:id="rId104"/>
    <hyperlink xmlns:r="http://schemas.openxmlformats.org/officeDocument/2006/relationships" ref="J106" r:id="rId105"/>
    <hyperlink xmlns:r="http://schemas.openxmlformats.org/officeDocument/2006/relationships" ref="J107" r:id="rId106"/>
    <hyperlink xmlns:r="http://schemas.openxmlformats.org/officeDocument/2006/relationships" ref="J108" r:id="rId107"/>
    <hyperlink xmlns:r="http://schemas.openxmlformats.org/officeDocument/2006/relationships" ref="J109" r:id="rId108"/>
    <hyperlink xmlns:r="http://schemas.openxmlformats.org/officeDocument/2006/relationships" ref="J110" r:id="rId109"/>
    <hyperlink xmlns:r="http://schemas.openxmlformats.org/officeDocument/2006/relationships" ref="J111" r:id="rId110"/>
    <hyperlink xmlns:r="http://schemas.openxmlformats.org/officeDocument/2006/relationships" ref="J112" r:id="rId111"/>
    <hyperlink xmlns:r="http://schemas.openxmlformats.org/officeDocument/2006/relationships" ref="J113" r:id="rId112"/>
    <hyperlink xmlns:r="http://schemas.openxmlformats.org/officeDocument/2006/relationships" ref="J114" r:id="rId113"/>
    <hyperlink xmlns:r="http://schemas.openxmlformats.org/officeDocument/2006/relationships" ref="J115" r:id="rId114"/>
    <hyperlink xmlns:r="http://schemas.openxmlformats.org/officeDocument/2006/relationships" ref="J116" r:id="rId115"/>
    <hyperlink xmlns:r="http://schemas.openxmlformats.org/officeDocument/2006/relationships" ref="J117" r:id="rId116"/>
    <hyperlink xmlns:r="http://schemas.openxmlformats.org/officeDocument/2006/relationships" ref="J118" r:id="rId117"/>
    <hyperlink xmlns:r="http://schemas.openxmlformats.org/officeDocument/2006/relationships" ref="J119" r:id="rId118"/>
    <hyperlink xmlns:r="http://schemas.openxmlformats.org/officeDocument/2006/relationships" ref="J120" r:id="rId119"/>
    <hyperlink xmlns:r="http://schemas.openxmlformats.org/officeDocument/2006/relationships" ref="J121" r:id="rId120"/>
    <hyperlink xmlns:r="http://schemas.openxmlformats.org/officeDocument/2006/relationships" ref="J122" r:id="rId121"/>
    <hyperlink xmlns:r="http://schemas.openxmlformats.org/officeDocument/2006/relationships" ref="J123" r:id="rId122"/>
    <hyperlink xmlns:r="http://schemas.openxmlformats.org/officeDocument/2006/relationships" ref="J124" r:id="rId123"/>
    <hyperlink xmlns:r="http://schemas.openxmlformats.org/officeDocument/2006/relationships" ref="J125" r:id="rId124"/>
    <hyperlink xmlns:r="http://schemas.openxmlformats.org/officeDocument/2006/relationships" ref="J126" r:id="rId125"/>
    <hyperlink xmlns:r="http://schemas.openxmlformats.org/officeDocument/2006/relationships" ref="J127" r:id="rId126"/>
    <hyperlink xmlns:r="http://schemas.openxmlformats.org/officeDocument/2006/relationships" ref="J128" r:id="rId127"/>
    <hyperlink xmlns:r="http://schemas.openxmlformats.org/officeDocument/2006/relationships" ref="J129" r:id="rId128"/>
    <hyperlink xmlns:r="http://schemas.openxmlformats.org/officeDocument/2006/relationships" ref="J130" r:id="rId129"/>
    <hyperlink xmlns:r="http://schemas.openxmlformats.org/officeDocument/2006/relationships" ref="J131" r:id="rId130"/>
    <hyperlink xmlns:r="http://schemas.openxmlformats.org/officeDocument/2006/relationships" ref="J132" r:id="rId131"/>
    <hyperlink xmlns:r="http://schemas.openxmlformats.org/officeDocument/2006/relationships" ref="J133" r:id="rId132"/>
    <hyperlink xmlns:r="http://schemas.openxmlformats.org/officeDocument/2006/relationships" ref="J134" r:id="rId133"/>
    <hyperlink xmlns:r="http://schemas.openxmlformats.org/officeDocument/2006/relationships" ref="J135" r:id="rId134"/>
    <hyperlink xmlns:r="http://schemas.openxmlformats.org/officeDocument/2006/relationships" ref="J136" r:id="rId135"/>
    <hyperlink xmlns:r="http://schemas.openxmlformats.org/officeDocument/2006/relationships" ref="J137" r:id="rId136"/>
    <hyperlink xmlns:r="http://schemas.openxmlformats.org/officeDocument/2006/relationships" ref="J138" r:id="rId137"/>
    <hyperlink xmlns:r="http://schemas.openxmlformats.org/officeDocument/2006/relationships" ref="J139" r:id="rId138"/>
    <hyperlink xmlns:r="http://schemas.openxmlformats.org/officeDocument/2006/relationships" ref="J140" r:id="rId139"/>
    <hyperlink xmlns:r="http://schemas.openxmlformats.org/officeDocument/2006/relationships" ref="J141" r:id="rId140"/>
    <hyperlink xmlns:r="http://schemas.openxmlformats.org/officeDocument/2006/relationships" ref="J142" r:id="rId141"/>
    <hyperlink xmlns:r="http://schemas.openxmlformats.org/officeDocument/2006/relationships" ref="J143" r:id="rId142"/>
    <hyperlink xmlns:r="http://schemas.openxmlformats.org/officeDocument/2006/relationships" ref="J144" r:id="rId143"/>
    <hyperlink xmlns:r="http://schemas.openxmlformats.org/officeDocument/2006/relationships" ref="J145" r:id="rId144"/>
    <hyperlink xmlns:r="http://schemas.openxmlformats.org/officeDocument/2006/relationships" ref="J146" r:id="rId145"/>
    <hyperlink xmlns:r="http://schemas.openxmlformats.org/officeDocument/2006/relationships" ref="J147" r:id="rId146"/>
    <hyperlink xmlns:r="http://schemas.openxmlformats.org/officeDocument/2006/relationships" ref="J148" r:id="rId147"/>
    <hyperlink xmlns:r="http://schemas.openxmlformats.org/officeDocument/2006/relationships" ref="J149" r:id="rId148"/>
    <hyperlink xmlns:r="http://schemas.openxmlformats.org/officeDocument/2006/relationships" ref="J150" r:id="rId149"/>
    <hyperlink xmlns:r="http://schemas.openxmlformats.org/officeDocument/2006/relationships" ref="J151" r:id="rId150"/>
    <hyperlink xmlns:r="http://schemas.openxmlformats.org/officeDocument/2006/relationships" ref="J152" r:id="rId151"/>
    <hyperlink xmlns:r="http://schemas.openxmlformats.org/officeDocument/2006/relationships" ref="J153" r:id="rId152"/>
    <hyperlink xmlns:r="http://schemas.openxmlformats.org/officeDocument/2006/relationships" ref="J154" r:id="rId153"/>
    <hyperlink xmlns:r="http://schemas.openxmlformats.org/officeDocument/2006/relationships" ref="J155" r:id="rId154"/>
    <hyperlink xmlns:r="http://schemas.openxmlformats.org/officeDocument/2006/relationships" ref="J156" r:id="rId155"/>
    <hyperlink xmlns:r="http://schemas.openxmlformats.org/officeDocument/2006/relationships" ref="J157" r:id="rId156"/>
    <hyperlink xmlns:r="http://schemas.openxmlformats.org/officeDocument/2006/relationships" ref="J158" r:id="rId157"/>
    <hyperlink xmlns:r="http://schemas.openxmlformats.org/officeDocument/2006/relationships" ref="J159" r:id="rId158"/>
    <hyperlink xmlns:r="http://schemas.openxmlformats.org/officeDocument/2006/relationships" ref="J160" r:id="rId159"/>
    <hyperlink xmlns:r="http://schemas.openxmlformats.org/officeDocument/2006/relationships" ref="J161" r:id="rId160"/>
    <hyperlink xmlns:r="http://schemas.openxmlformats.org/officeDocument/2006/relationships" ref="J162" r:id="rId161"/>
    <hyperlink xmlns:r="http://schemas.openxmlformats.org/officeDocument/2006/relationships" ref="J163" r:id="rId162"/>
    <hyperlink xmlns:r="http://schemas.openxmlformats.org/officeDocument/2006/relationships" ref="J164" r:id="rId163"/>
    <hyperlink xmlns:r="http://schemas.openxmlformats.org/officeDocument/2006/relationships" ref="J165" r:id="rId164"/>
    <hyperlink xmlns:r="http://schemas.openxmlformats.org/officeDocument/2006/relationships" ref="J166" r:id="rId165"/>
    <hyperlink xmlns:r="http://schemas.openxmlformats.org/officeDocument/2006/relationships" ref="J167" r:id="rId166"/>
    <hyperlink xmlns:r="http://schemas.openxmlformats.org/officeDocument/2006/relationships" ref="J168" r:id="rId167"/>
    <hyperlink xmlns:r="http://schemas.openxmlformats.org/officeDocument/2006/relationships" ref="J169" r:id="rId168"/>
    <hyperlink xmlns:r="http://schemas.openxmlformats.org/officeDocument/2006/relationships" ref="J170" r:id="rId169"/>
    <hyperlink xmlns:r="http://schemas.openxmlformats.org/officeDocument/2006/relationships" ref="J171" r:id="rId170"/>
    <hyperlink xmlns:r="http://schemas.openxmlformats.org/officeDocument/2006/relationships" ref="J172" r:id="rId171"/>
    <hyperlink xmlns:r="http://schemas.openxmlformats.org/officeDocument/2006/relationships" ref="J173" r:id="rId172"/>
    <hyperlink xmlns:r="http://schemas.openxmlformats.org/officeDocument/2006/relationships" ref="J174" r:id="rId173"/>
    <hyperlink xmlns:r="http://schemas.openxmlformats.org/officeDocument/2006/relationships" ref="J175" r:id="rId174"/>
    <hyperlink xmlns:r="http://schemas.openxmlformats.org/officeDocument/2006/relationships" ref="J176" r:id="rId175"/>
    <hyperlink xmlns:r="http://schemas.openxmlformats.org/officeDocument/2006/relationships" ref="J177" r:id="rId176"/>
    <hyperlink xmlns:r="http://schemas.openxmlformats.org/officeDocument/2006/relationships" ref="J178" r:id="rId177"/>
    <hyperlink xmlns:r="http://schemas.openxmlformats.org/officeDocument/2006/relationships" ref="J179" r:id="rId178"/>
    <hyperlink xmlns:r="http://schemas.openxmlformats.org/officeDocument/2006/relationships" ref="J180" r:id="rId179"/>
    <hyperlink xmlns:r="http://schemas.openxmlformats.org/officeDocument/2006/relationships" ref="J181" r:id="rId180"/>
    <hyperlink xmlns:r="http://schemas.openxmlformats.org/officeDocument/2006/relationships" ref="J182" r:id="rId181"/>
    <hyperlink xmlns:r="http://schemas.openxmlformats.org/officeDocument/2006/relationships" ref="J183" r:id="rId182"/>
    <hyperlink xmlns:r="http://schemas.openxmlformats.org/officeDocument/2006/relationships" ref="J184" r:id="rId183"/>
    <hyperlink xmlns:r="http://schemas.openxmlformats.org/officeDocument/2006/relationships" ref="J185" r:id="rId184"/>
    <hyperlink xmlns:r="http://schemas.openxmlformats.org/officeDocument/2006/relationships" ref="J186" r:id="rId185"/>
    <hyperlink xmlns:r="http://schemas.openxmlformats.org/officeDocument/2006/relationships" ref="J187" r:id="rId186"/>
    <hyperlink xmlns:r="http://schemas.openxmlformats.org/officeDocument/2006/relationships" ref="J188" r:id="rId187"/>
    <hyperlink xmlns:r="http://schemas.openxmlformats.org/officeDocument/2006/relationships" ref="J189" r:id="rId188"/>
    <hyperlink xmlns:r="http://schemas.openxmlformats.org/officeDocument/2006/relationships" ref="J190" r:id="rId189"/>
    <hyperlink xmlns:r="http://schemas.openxmlformats.org/officeDocument/2006/relationships" ref="J191" r:id="rId190"/>
    <hyperlink xmlns:r="http://schemas.openxmlformats.org/officeDocument/2006/relationships" ref="J192" r:id="rId191"/>
    <hyperlink xmlns:r="http://schemas.openxmlformats.org/officeDocument/2006/relationships" ref="J193" r:id="rId192"/>
    <hyperlink xmlns:r="http://schemas.openxmlformats.org/officeDocument/2006/relationships" ref="J194" r:id="rId193"/>
    <hyperlink xmlns:r="http://schemas.openxmlformats.org/officeDocument/2006/relationships" ref="J195" r:id="rId194"/>
    <hyperlink xmlns:r="http://schemas.openxmlformats.org/officeDocument/2006/relationships" ref="J196" r:id="rId195"/>
    <hyperlink xmlns:r="http://schemas.openxmlformats.org/officeDocument/2006/relationships" ref="J197" r:id="rId196"/>
    <hyperlink xmlns:r="http://schemas.openxmlformats.org/officeDocument/2006/relationships" ref="J198" r:id="rId197"/>
    <hyperlink xmlns:r="http://schemas.openxmlformats.org/officeDocument/2006/relationships" ref="J199" r:id="rId198"/>
    <hyperlink xmlns:r="http://schemas.openxmlformats.org/officeDocument/2006/relationships" ref="J200" r:id="rId199"/>
    <hyperlink xmlns:r="http://schemas.openxmlformats.org/officeDocument/2006/relationships" ref="J201" r:id="rId200"/>
    <hyperlink xmlns:r="http://schemas.openxmlformats.org/officeDocument/2006/relationships" ref="J202" r:id="rId201"/>
    <hyperlink xmlns:r="http://schemas.openxmlformats.org/officeDocument/2006/relationships" ref="J203" r:id="rId202"/>
    <hyperlink xmlns:r="http://schemas.openxmlformats.org/officeDocument/2006/relationships" ref="J204" r:id="rId203"/>
    <hyperlink xmlns:r="http://schemas.openxmlformats.org/officeDocument/2006/relationships" ref="J205" r:id="rId204"/>
    <hyperlink xmlns:r="http://schemas.openxmlformats.org/officeDocument/2006/relationships" ref="J206" r:id="rId205"/>
    <hyperlink xmlns:r="http://schemas.openxmlformats.org/officeDocument/2006/relationships" ref="J207" r:id="rId206"/>
    <hyperlink xmlns:r="http://schemas.openxmlformats.org/officeDocument/2006/relationships" ref="J208" r:id="rId207"/>
    <hyperlink xmlns:r="http://schemas.openxmlformats.org/officeDocument/2006/relationships" ref="J209" r:id="rId208"/>
    <hyperlink xmlns:r="http://schemas.openxmlformats.org/officeDocument/2006/relationships" ref="J210" r:id="rId209"/>
    <hyperlink xmlns:r="http://schemas.openxmlformats.org/officeDocument/2006/relationships" ref="J211" r:id="rId210"/>
    <hyperlink xmlns:r="http://schemas.openxmlformats.org/officeDocument/2006/relationships" ref="J212" r:id="rId211"/>
    <hyperlink xmlns:r="http://schemas.openxmlformats.org/officeDocument/2006/relationships" ref="J213" r:id="rId212"/>
    <hyperlink xmlns:r="http://schemas.openxmlformats.org/officeDocument/2006/relationships" ref="J214" r:id="rId213"/>
    <hyperlink xmlns:r="http://schemas.openxmlformats.org/officeDocument/2006/relationships" ref="J215" r:id="rId214"/>
    <hyperlink xmlns:r="http://schemas.openxmlformats.org/officeDocument/2006/relationships" ref="J216" r:id="rId215"/>
    <hyperlink xmlns:r="http://schemas.openxmlformats.org/officeDocument/2006/relationships" ref="J217" r:id="rId216"/>
    <hyperlink xmlns:r="http://schemas.openxmlformats.org/officeDocument/2006/relationships" ref="J218" r:id="rId217"/>
    <hyperlink xmlns:r="http://schemas.openxmlformats.org/officeDocument/2006/relationships" ref="J219" r:id="rId218"/>
    <hyperlink xmlns:r="http://schemas.openxmlformats.org/officeDocument/2006/relationships" ref="J220" r:id="rId219"/>
    <hyperlink xmlns:r="http://schemas.openxmlformats.org/officeDocument/2006/relationships" ref="J221" r:id="rId220"/>
    <hyperlink xmlns:r="http://schemas.openxmlformats.org/officeDocument/2006/relationships" ref="J222" r:id="rId221"/>
    <hyperlink xmlns:r="http://schemas.openxmlformats.org/officeDocument/2006/relationships" ref="J223" r:id="rId222"/>
    <hyperlink xmlns:r="http://schemas.openxmlformats.org/officeDocument/2006/relationships" ref="J224" r:id="rId223"/>
    <hyperlink xmlns:r="http://schemas.openxmlformats.org/officeDocument/2006/relationships" ref="J225" r:id="rId224"/>
    <hyperlink xmlns:r="http://schemas.openxmlformats.org/officeDocument/2006/relationships" ref="J226" r:id="rId225"/>
    <hyperlink xmlns:r="http://schemas.openxmlformats.org/officeDocument/2006/relationships" ref="J227" r:id="rId226"/>
    <hyperlink xmlns:r="http://schemas.openxmlformats.org/officeDocument/2006/relationships" ref="J228" r:id="rId227"/>
    <hyperlink xmlns:r="http://schemas.openxmlformats.org/officeDocument/2006/relationships" ref="J229" r:id="rId228"/>
    <hyperlink xmlns:r="http://schemas.openxmlformats.org/officeDocument/2006/relationships" ref="J230" r:id="rId229"/>
    <hyperlink xmlns:r="http://schemas.openxmlformats.org/officeDocument/2006/relationships" ref="J231" r:id="rId230"/>
    <hyperlink xmlns:r="http://schemas.openxmlformats.org/officeDocument/2006/relationships" ref="J232" r:id="rId231"/>
    <hyperlink xmlns:r="http://schemas.openxmlformats.org/officeDocument/2006/relationships" ref="J233" r:id="rId232"/>
    <hyperlink xmlns:r="http://schemas.openxmlformats.org/officeDocument/2006/relationships" ref="J234" r:id="rId233"/>
    <hyperlink xmlns:r="http://schemas.openxmlformats.org/officeDocument/2006/relationships" ref="J235" r:id="rId234"/>
    <hyperlink xmlns:r="http://schemas.openxmlformats.org/officeDocument/2006/relationships" ref="J236" r:id="rId235"/>
    <hyperlink xmlns:r="http://schemas.openxmlformats.org/officeDocument/2006/relationships" ref="J237" r:id="rId236"/>
    <hyperlink xmlns:r="http://schemas.openxmlformats.org/officeDocument/2006/relationships" ref="J238" r:id="rId237"/>
    <hyperlink xmlns:r="http://schemas.openxmlformats.org/officeDocument/2006/relationships" ref="J239" r:id="rId238"/>
    <hyperlink xmlns:r="http://schemas.openxmlformats.org/officeDocument/2006/relationships" ref="J240" r:id="rId239"/>
    <hyperlink xmlns:r="http://schemas.openxmlformats.org/officeDocument/2006/relationships" ref="J241" r:id="rId240"/>
    <hyperlink xmlns:r="http://schemas.openxmlformats.org/officeDocument/2006/relationships" ref="J242" r:id="rId241"/>
    <hyperlink xmlns:r="http://schemas.openxmlformats.org/officeDocument/2006/relationships" ref="J243" r:id="rId242"/>
    <hyperlink xmlns:r="http://schemas.openxmlformats.org/officeDocument/2006/relationships" ref="J244" r:id="rId243"/>
    <hyperlink xmlns:r="http://schemas.openxmlformats.org/officeDocument/2006/relationships" ref="J245" r:id="rId244"/>
    <hyperlink xmlns:r="http://schemas.openxmlformats.org/officeDocument/2006/relationships" ref="J246" r:id="rId245"/>
    <hyperlink xmlns:r="http://schemas.openxmlformats.org/officeDocument/2006/relationships" ref="J247" r:id="rId246"/>
    <hyperlink xmlns:r="http://schemas.openxmlformats.org/officeDocument/2006/relationships" ref="J248" r:id="rId247"/>
    <hyperlink xmlns:r="http://schemas.openxmlformats.org/officeDocument/2006/relationships" ref="J249" r:id="rId248"/>
    <hyperlink xmlns:r="http://schemas.openxmlformats.org/officeDocument/2006/relationships" ref="J250" r:id="rId249"/>
    <hyperlink xmlns:r="http://schemas.openxmlformats.org/officeDocument/2006/relationships" ref="J251" r:id="rId250"/>
    <hyperlink xmlns:r="http://schemas.openxmlformats.org/officeDocument/2006/relationships" ref="J252" r:id="rId251"/>
    <hyperlink xmlns:r="http://schemas.openxmlformats.org/officeDocument/2006/relationships" ref="J253" r:id="rId252"/>
    <hyperlink xmlns:r="http://schemas.openxmlformats.org/officeDocument/2006/relationships" ref="J254" r:id="rId253"/>
    <hyperlink xmlns:r="http://schemas.openxmlformats.org/officeDocument/2006/relationships" ref="J255" r:id="rId254"/>
    <hyperlink xmlns:r="http://schemas.openxmlformats.org/officeDocument/2006/relationships" ref="J256" r:id="rId255"/>
    <hyperlink xmlns:r="http://schemas.openxmlformats.org/officeDocument/2006/relationships" ref="J257" r:id="rId256"/>
    <hyperlink xmlns:r="http://schemas.openxmlformats.org/officeDocument/2006/relationships" ref="J258" r:id="rId257"/>
    <hyperlink xmlns:r="http://schemas.openxmlformats.org/officeDocument/2006/relationships" ref="J259" r:id="rId258"/>
    <hyperlink xmlns:r="http://schemas.openxmlformats.org/officeDocument/2006/relationships" ref="J260" r:id="rId259"/>
    <hyperlink xmlns:r="http://schemas.openxmlformats.org/officeDocument/2006/relationships" ref="J261" r:id="rId260"/>
    <hyperlink xmlns:r="http://schemas.openxmlformats.org/officeDocument/2006/relationships" ref="J262" r:id="rId261"/>
    <hyperlink xmlns:r="http://schemas.openxmlformats.org/officeDocument/2006/relationships" ref="J263" r:id="rId262"/>
    <hyperlink xmlns:r="http://schemas.openxmlformats.org/officeDocument/2006/relationships" ref="J264" r:id="rId263"/>
    <hyperlink xmlns:r="http://schemas.openxmlformats.org/officeDocument/2006/relationships" ref="J265" r:id="rId264"/>
    <hyperlink xmlns:r="http://schemas.openxmlformats.org/officeDocument/2006/relationships" ref="J266" r:id="rId265"/>
    <hyperlink xmlns:r="http://schemas.openxmlformats.org/officeDocument/2006/relationships" ref="J267" r:id="rId266"/>
    <hyperlink xmlns:r="http://schemas.openxmlformats.org/officeDocument/2006/relationships" ref="J268" r:id="rId267"/>
    <hyperlink xmlns:r="http://schemas.openxmlformats.org/officeDocument/2006/relationships" ref="J269" r:id="rId268"/>
    <hyperlink xmlns:r="http://schemas.openxmlformats.org/officeDocument/2006/relationships" ref="J270" r:id="rId269"/>
    <hyperlink xmlns:r="http://schemas.openxmlformats.org/officeDocument/2006/relationships" ref="J271" r:id="rId270"/>
    <hyperlink xmlns:r="http://schemas.openxmlformats.org/officeDocument/2006/relationships" ref="J272" r:id="rId271"/>
    <hyperlink xmlns:r="http://schemas.openxmlformats.org/officeDocument/2006/relationships" ref="J273" r:id="rId272"/>
    <hyperlink xmlns:r="http://schemas.openxmlformats.org/officeDocument/2006/relationships" ref="J274" r:id="rId273"/>
    <hyperlink xmlns:r="http://schemas.openxmlformats.org/officeDocument/2006/relationships" ref="J275" r:id="rId274"/>
    <hyperlink xmlns:r="http://schemas.openxmlformats.org/officeDocument/2006/relationships" ref="J276" r:id="rId275"/>
    <hyperlink xmlns:r="http://schemas.openxmlformats.org/officeDocument/2006/relationships" ref="J277" r:id="rId276"/>
    <hyperlink xmlns:r="http://schemas.openxmlformats.org/officeDocument/2006/relationships" ref="J278" r:id="rId277"/>
    <hyperlink xmlns:r="http://schemas.openxmlformats.org/officeDocument/2006/relationships" ref="J279" r:id="rId278"/>
    <hyperlink xmlns:r="http://schemas.openxmlformats.org/officeDocument/2006/relationships" ref="J280" r:id="rId279"/>
    <hyperlink xmlns:r="http://schemas.openxmlformats.org/officeDocument/2006/relationships" ref="J281" r:id="rId280"/>
    <hyperlink xmlns:r="http://schemas.openxmlformats.org/officeDocument/2006/relationships" ref="J282" r:id="rId281"/>
    <hyperlink xmlns:r="http://schemas.openxmlformats.org/officeDocument/2006/relationships" ref="J283" r:id="rId282"/>
    <hyperlink xmlns:r="http://schemas.openxmlformats.org/officeDocument/2006/relationships" ref="J284" r:id="rId283"/>
    <hyperlink xmlns:r="http://schemas.openxmlformats.org/officeDocument/2006/relationships" ref="J285" r:id="rId284"/>
    <hyperlink xmlns:r="http://schemas.openxmlformats.org/officeDocument/2006/relationships" ref="J286" r:id="rId285"/>
    <hyperlink xmlns:r="http://schemas.openxmlformats.org/officeDocument/2006/relationships" ref="J287" r:id="rId286"/>
    <hyperlink xmlns:r="http://schemas.openxmlformats.org/officeDocument/2006/relationships" ref="J288" r:id="rId287"/>
    <hyperlink xmlns:r="http://schemas.openxmlformats.org/officeDocument/2006/relationships" ref="J289" r:id="rId288"/>
    <hyperlink xmlns:r="http://schemas.openxmlformats.org/officeDocument/2006/relationships" ref="J290" r:id="rId289"/>
    <hyperlink xmlns:r="http://schemas.openxmlformats.org/officeDocument/2006/relationships" ref="J291" r:id="rId290"/>
    <hyperlink xmlns:r="http://schemas.openxmlformats.org/officeDocument/2006/relationships" ref="J292" r:id="rId291"/>
    <hyperlink xmlns:r="http://schemas.openxmlformats.org/officeDocument/2006/relationships" ref="J293" r:id="rId292"/>
    <hyperlink xmlns:r="http://schemas.openxmlformats.org/officeDocument/2006/relationships" ref="J294" r:id="rId293"/>
    <hyperlink xmlns:r="http://schemas.openxmlformats.org/officeDocument/2006/relationships" ref="J295" r:id="rId294"/>
    <hyperlink xmlns:r="http://schemas.openxmlformats.org/officeDocument/2006/relationships" ref="J296" r:id="rId295"/>
    <hyperlink xmlns:r="http://schemas.openxmlformats.org/officeDocument/2006/relationships" ref="J297" r:id="rId296"/>
    <hyperlink xmlns:r="http://schemas.openxmlformats.org/officeDocument/2006/relationships" ref="J298" r:id="rId297"/>
    <hyperlink xmlns:r="http://schemas.openxmlformats.org/officeDocument/2006/relationships" ref="J299" r:id="rId298"/>
    <hyperlink xmlns:r="http://schemas.openxmlformats.org/officeDocument/2006/relationships" ref="J300" r:id="rId299"/>
    <hyperlink xmlns:r="http://schemas.openxmlformats.org/officeDocument/2006/relationships" ref="J301" r:id="rId300"/>
    <hyperlink xmlns:r="http://schemas.openxmlformats.org/officeDocument/2006/relationships" ref="J302" r:id="rId301"/>
    <hyperlink xmlns:r="http://schemas.openxmlformats.org/officeDocument/2006/relationships" ref="J303" r:id="rId302"/>
    <hyperlink xmlns:r="http://schemas.openxmlformats.org/officeDocument/2006/relationships" ref="J304" r:id="rId303"/>
    <hyperlink xmlns:r="http://schemas.openxmlformats.org/officeDocument/2006/relationships" ref="J305" r:id="rId304"/>
    <hyperlink xmlns:r="http://schemas.openxmlformats.org/officeDocument/2006/relationships" ref="J306" r:id="rId305"/>
    <hyperlink xmlns:r="http://schemas.openxmlformats.org/officeDocument/2006/relationships" ref="J307" r:id="rId306"/>
    <hyperlink xmlns:r="http://schemas.openxmlformats.org/officeDocument/2006/relationships" ref="J308" r:id="rId307"/>
    <hyperlink xmlns:r="http://schemas.openxmlformats.org/officeDocument/2006/relationships" ref="J309" r:id="rId308"/>
    <hyperlink xmlns:r="http://schemas.openxmlformats.org/officeDocument/2006/relationships" ref="J310" r:id="rId309"/>
    <hyperlink xmlns:r="http://schemas.openxmlformats.org/officeDocument/2006/relationships" ref="J311" r:id="rId310"/>
    <hyperlink xmlns:r="http://schemas.openxmlformats.org/officeDocument/2006/relationships" ref="J312" r:id="rId311"/>
    <hyperlink xmlns:r="http://schemas.openxmlformats.org/officeDocument/2006/relationships" ref="J313" r:id="rId312"/>
    <hyperlink xmlns:r="http://schemas.openxmlformats.org/officeDocument/2006/relationships" ref="J314" r:id="rId313"/>
    <hyperlink xmlns:r="http://schemas.openxmlformats.org/officeDocument/2006/relationships" ref="J315" r:id="rId314"/>
    <hyperlink xmlns:r="http://schemas.openxmlformats.org/officeDocument/2006/relationships" ref="J316" r:id="rId315"/>
    <hyperlink xmlns:r="http://schemas.openxmlformats.org/officeDocument/2006/relationships" ref="J317" r:id="rId316"/>
    <hyperlink xmlns:r="http://schemas.openxmlformats.org/officeDocument/2006/relationships" ref="J318" r:id="rId317"/>
    <hyperlink xmlns:r="http://schemas.openxmlformats.org/officeDocument/2006/relationships" ref="J319" r:id="rId318"/>
    <hyperlink xmlns:r="http://schemas.openxmlformats.org/officeDocument/2006/relationships" ref="J320" r:id="rId319"/>
    <hyperlink xmlns:r="http://schemas.openxmlformats.org/officeDocument/2006/relationships" ref="J321" r:id="rId320"/>
    <hyperlink xmlns:r="http://schemas.openxmlformats.org/officeDocument/2006/relationships" ref="J322" r:id="rId321"/>
    <hyperlink xmlns:r="http://schemas.openxmlformats.org/officeDocument/2006/relationships" ref="J323" r:id="rId322"/>
    <hyperlink xmlns:r="http://schemas.openxmlformats.org/officeDocument/2006/relationships" ref="J324" r:id="rId323"/>
    <hyperlink xmlns:r="http://schemas.openxmlformats.org/officeDocument/2006/relationships" ref="J325" r:id="rId324"/>
    <hyperlink xmlns:r="http://schemas.openxmlformats.org/officeDocument/2006/relationships" ref="J326" r:id="rId325"/>
    <hyperlink xmlns:r="http://schemas.openxmlformats.org/officeDocument/2006/relationships" ref="J327" r:id="rId326"/>
    <hyperlink xmlns:r="http://schemas.openxmlformats.org/officeDocument/2006/relationships" ref="J328" r:id="rId327"/>
    <hyperlink xmlns:r="http://schemas.openxmlformats.org/officeDocument/2006/relationships" ref="J329" r:id="rId328"/>
    <hyperlink xmlns:r="http://schemas.openxmlformats.org/officeDocument/2006/relationships" ref="J330" r:id="rId329"/>
    <hyperlink xmlns:r="http://schemas.openxmlformats.org/officeDocument/2006/relationships" ref="J331" r:id="rId330"/>
    <hyperlink xmlns:r="http://schemas.openxmlformats.org/officeDocument/2006/relationships" ref="J332" r:id="rId331"/>
    <hyperlink xmlns:r="http://schemas.openxmlformats.org/officeDocument/2006/relationships" ref="J333" r:id="rId332"/>
    <hyperlink xmlns:r="http://schemas.openxmlformats.org/officeDocument/2006/relationships" ref="J334" r:id="rId333"/>
    <hyperlink xmlns:r="http://schemas.openxmlformats.org/officeDocument/2006/relationships" ref="J335" r:id="rId334"/>
    <hyperlink xmlns:r="http://schemas.openxmlformats.org/officeDocument/2006/relationships" ref="J336" r:id="rId335"/>
    <hyperlink xmlns:r="http://schemas.openxmlformats.org/officeDocument/2006/relationships" ref="J337" r:id="rId336"/>
    <hyperlink xmlns:r="http://schemas.openxmlformats.org/officeDocument/2006/relationships" ref="J338" r:id="rId337"/>
    <hyperlink xmlns:r="http://schemas.openxmlformats.org/officeDocument/2006/relationships" ref="J339" r:id="rId338"/>
    <hyperlink xmlns:r="http://schemas.openxmlformats.org/officeDocument/2006/relationships" ref="J340" r:id="rId339"/>
    <hyperlink xmlns:r="http://schemas.openxmlformats.org/officeDocument/2006/relationships" ref="J341" r:id="rId340"/>
    <hyperlink xmlns:r="http://schemas.openxmlformats.org/officeDocument/2006/relationships" ref="J342" r:id="rId341"/>
    <hyperlink xmlns:r="http://schemas.openxmlformats.org/officeDocument/2006/relationships" ref="J343" r:id="rId342"/>
    <hyperlink xmlns:r="http://schemas.openxmlformats.org/officeDocument/2006/relationships" ref="J344" r:id="rId343"/>
    <hyperlink xmlns:r="http://schemas.openxmlformats.org/officeDocument/2006/relationships" ref="J345" r:id="rId344"/>
    <hyperlink xmlns:r="http://schemas.openxmlformats.org/officeDocument/2006/relationships" ref="J346" r:id="rId345"/>
    <hyperlink xmlns:r="http://schemas.openxmlformats.org/officeDocument/2006/relationships" ref="J347" r:id="rId346"/>
    <hyperlink xmlns:r="http://schemas.openxmlformats.org/officeDocument/2006/relationships" ref="J348" r:id="rId347"/>
    <hyperlink xmlns:r="http://schemas.openxmlformats.org/officeDocument/2006/relationships" ref="J349" r:id="rId348"/>
    <hyperlink xmlns:r="http://schemas.openxmlformats.org/officeDocument/2006/relationships" ref="J350" r:id="rId349"/>
    <hyperlink xmlns:r="http://schemas.openxmlformats.org/officeDocument/2006/relationships" ref="J351" r:id="rId350"/>
    <hyperlink xmlns:r="http://schemas.openxmlformats.org/officeDocument/2006/relationships" ref="J352" r:id="rId351"/>
    <hyperlink xmlns:r="http://schemas.openxmlformats.org/officeDocument/2006/relationships" ref="J353" r:id="rId352"/>
    <hyperlink xmlns:r="http://schemas.openxmlformats.org/officeDocument/2006/relationships" ref="J354" r:id="rId353"/>
    <hyperlink xmlns:r="http://schemas.openxmlformats.org/officeDocument/2006/relationships" ref="J355" r:id="rId354"/>
    <hyperlink xmlns:r="http://schemas.openxmlformats.org/officeDocument/2006/relationships" ref="J356" r:id="rId355"/>
    <hyperlink xmlns:r="http://schemas.openxmlformats.org/officeDocument/2006/relationships" ref="J357" r:id="rId356"/>
    <hyperlink xmlns:r="http://schemas.openxmlformats.org/officeDocument/2006/relationships" ref="J358" r:id="rId357"/>
    <hyperlink xmlns:r="http://schemas.openxmlformats.org/officeDocument/2006/relationships" ref="J359" r:id="rId358"/>
    <hyperlink xmlns:r="http://schemas.openxmlformats.org/officeDocument/2006/relationships" ref="J360" r:id="rId359"/>
    <hyperlink xmlns:r="http://schemas.openxmlformats.org/officeDocument/2006/relationships" ref="J361" r:id="rId360"/>
    <hyperlink xmlns:r="http://schemas.openxmlformats.org/officeDocument/2006/relationships" ref="J362" r:id="rId361"/>
    <hyperlink xmlns:r="http://schemas.openxmlformats.org/officeDocument/2006/relationships" ref="J363" r:id="rId362"/>
    <hyperlink xmlns:r="http://schemas.openxmlformats.org/officeDocument/2006/relationships" ref="J364" r:id="rId363"/>
    <hyperlink xmlns:r="http://schemas.openxmlformats.org/officeDocument/2006/relationships" ref="J365" r:id="rId364"/>
    <hyperlink xmlns:r="http://schemas.openxmlformats.org/officeDocument/2006/relationships" ref="J366" r:id="rId365"/>
    <hyperlink xmlns:r="http://schemas.openxmlformats.org/officeDocument/2006/relationships" ref="J367" r:id="rId366"/>
    <hyperlink xmlns:r="http://schemas.openxmlformats.org/officeDocument/2006/relationships" ref="J368" r:id="rId367"/>
    <hyperlink xmlns:r="http://schemas.openxmlformats.org/officeDocument/2006/relationships" ref="J369" r:id="rId368"/>
    <hyperlink xmlns:r="http://schemas.openxmlformats.org/officeDocument/2006/relationships" ref="J370" r:id="rId369"/>
    <hyperlink xmlns:r="http://schemas.openxmlformats.org/officeDocument/2006/relationships" ref="J371" r:id="rId370"/>
    <hyperlink xmlns:r="http://schemas.openxmlformats.org/officeDocument/2006/relationships" ref="J372" r:id="rId371"/>
    <hyperlink xmlns:r="http://schemas.openxmlformats.org/officeDocument/2006/relationships" ref="J373" r:id="rId372"/>
    <hyperlink xmlns:r="http://schemas.openxmlformats.org/officeDocument/2006/relationships" ref="J374" r:id="rId373"/>
    <hyperlink xmlns:r="http://schemas.openxmlformats.org/officeDocument/2006/relationships" ref="J375" r:id="rId374"/>
    <hyperlink xmlns:r="http://schemas.openxmlformats.org/officeDocument/2006/relationships" ref="J376" r:id="rId375"/>
    <hyperlink xmlns:r="http://schemas.openxmlformats.org/officeDocument/2006/relationships" ref="J377" r:id="rId376"/>
    <hyperlink xmlns:r="http://schemas.openxmlformats.org/officeDocument/2006/relationships" ref="J378" r:id="rId377"/>
    <hyperlink xmlns:r="http://schemas.openxmlformats.org/officeDocument/2006/relationships" ref="J379" r:id="rId378"/>
    <hyperlink xmlns:r="http://schemas.openxmlformats.org/officeDocument/2006/relationships" ref="J380" r:id="rId379"/>
    <hyperlink xmlns:r="http://schemas.openxmlformats.org/officeDocument/2006/relationships" ref="J381" r:id="rId380"/>
    <hyperlink xmlns:r="http://schemas.openxmlformats.org/officeDocument/2006/relationships" ref="J382" r:id="rId381"/>
    <hyperlink xmlns:r="http://schemas.openxmlformats.org/officeDocument/2006/relationships" ref="J383" r:id="rId382"/>
    <hyperlink xmlns:r="http://schemas.openxmlformats.org/officeDocument/2006/relationships" ref="J384" r:id="rId383"/>
    <hyperlink xmlns:r="http://schemas.openxmlformats.org/officeDocument/2006/relationships" ref="J385" r:id="rId384"/>
    <hyperlink xmlns:r="http://schemas.openxmlformats.org/officeDocument/2006/relationships" ref="J386" r:id="rId385"/>
    <hyperlink xmlns:r="http://schemas.openxmlformats.org/officeDocument/2006/relationships" ref="J387" r:id="rId386"/>
    <hyperlink xmlns:r="http://schemas.openxmlformats.org/officeDocument/2006/relationships" ref="J388" r:id="rId387"/>
    <hyperlink xmlns:r="http://schemas.openxmlformats.org/officeDocument/2006/relationships" ref="J389" r:id="rId388"/>
    <hyperlink xmlns:r="http://schemas.openxmlformats.org/officeDocument/2006/relationships" ref="J390" r:id="rId389"/>
    <hyperlink xmlns:r="http://schemas.openxmlformats.org/officeDocument/2006/relationships" ref="J391" r:id="rId390"/>
    <hyperlink xmlns:r="http://schemas.openxmlformats.org/officeDocument/2006/relationships" ref="J392" r:id="rId391"/>
    <hyperlink xmlns:r="http://schemas.openxmlformats.org/officeDocument/2006/relationships" ref="J393" r:id="rId392"/>
    <hyperlink xmlns:r="http://schemas.openxmlformats.org/officeDocument/2006/relationships" ref="J394" r:id="rId393"/>
    <hyperlink xmlns:r="http://schemas.openxmlformats.org/officeDocument/2006/relationships" ref="J395" r:id="rId394"/>
    <hyperlink xmlns:r="http://schemas.openxmlformats.org/officeDocument/2006/relationships" ref="J396" r:id="rId395"/>
    <hyperlink xmlns:r="http://schemas.openxmlformats.org/officeDocument/2006/relationships" ref="J397" r:id="rId396"/>
    <hyperlink xmlns:r="http://schemas.openxmlformats.org/officeDocument/2006/relationships" ref="J398" r:id="rId397"/>
    <hyperlink xmlns:r="http://schemas.openxmlformats.org/officeDocument/2006/relationships" ref="J399" r:id="rId398"/>
    <hyperlink xmlns:r="http://schemas.openxmlformats.org/officeDocument/2006/relationships" ref="J400" r:id="rId399"/>
    <hyperlink xmlns:r="http://schemas.openxmlformats.org/officeDocument/2006/relationships" ref="J401" r:id="rId400"/>
    <hyperlink xmlns:r="http://schemas.openxmlformats.org/officeDocument/2006/relationships" ref="J402" r:id="rId401"/>
    <hyperlink xmlns:r="http://schemas.openxmlformats.org/officeDocument/2006/relationships" ref="J403" r:id="rId402"/>
    <hyperlink xmlns:r="http://schemas.openxmlformats.org/officeDocument/2006/relationships" ref="J404" r:id="rId403"/>
    <hyperlink xmlns:r="http://schemas.openxmlformats.org/officeDocument/2006/relationships" ref="J405" r:id="rId404"/>
    <hyperlink xmlns:r="http://schemas.openxmlformats.org/officeDocument/2006/relationships" ref="J406" r:id="rId405"/>
    <hyperlink xmlns:r="http://schemas.openxmlformats.org/officeDocument/2006/relationships" ref="J407" r:id="rId406"/>
    <hyperlink xmlns:r="http://schemas.openxmlformats.org/officeDocument/2006/relationships" ref="J408" r:id="rId407"/>
    <hyperlink xmlns:r="http://schemas.openxmlformats.org/officeDocument/2006/relationships" ref="J409" r:id="rId408"/>
    <hyperlink xmlns:r="http://schemas.openxmlformats.org/officeDocument/2006/relationships" ref="J410" r:id="rId409"/>
    <hyperlink xmlns:r="http://schemas.openxmlformats.org/officeDocument/2006/relationships" ref="J411" r:id="rId410"/>
    <hyperlink xmlns:r="http://schemas.openxmlformats.org/officeDocument/2006/relationships" ref="J412" r:id="rId411"/>
    <hyperlink xmlns:r="http://schemas.openxmlformats.org/officeDocument/2006/relationships" ref="J413" r:id="rId412"/>
    <hyperlink xmlns:r="http://schemas.openxmlformats.org/officeDocument/2006/relationships" ref="J414" r:id="rId413"/>
    <hyperlink xmlns:r="http://schemas.openxmlformats.org/officeDocument/2006/relationships" ref="J415" r:id="rId414"/>
    <hyperlink xmlns:r="http://schemas.openxmlformats.org/officeDocument/2006/relationships" ref="J416" r:id="rId415"/>
    <hyperlink xmlns:r="http://schemas.openxmlformats.org/officeDocument/2006/relationships" ref="J417" r:id="rId416"/>
    <hyperlink xmlns:r="http://schemas.openxmlformats.org/officeDocument/2006/relationships" ref="J418" r:id="rId417"/>
    <hyperlink xmlns:r="http://schemas.openxmlformats.org/officeDocument/2006/relationships" ref="J419" r:id="rId418"/>
    <hyperlink xmlns:r="http://schemas.openxmlformats.org/officeDocument/2006/relationships" ref="J420" r:id="rId419"/>
    <hyperlink xmlns:r="http://schemas.openxmlformats.org/officeDocument/2006/relationships" ref="J421" r:id="rId420"/>
    <hyperlink xmlns:r="http://schemas.openxmlformats.org/officeDocument/2006/relationships" ref="J422" r:id="rId421"/>
    <hyperlink xmlns:r="http://schemas.openxmlformats.org/officeDocument/2006/relationships" ref="J423" r:id="rId422"/>
    <hyperlink xmlns:r="http://schemas.openxmlformats.org/officeDocument/2006/relationships" ref="J424" r:id="rId423"/>
    <hyperlink xmlns:r="http://schemas.openxmlformats.org/officeDocument/2006/relationships" ref="J425" r:id="rId424"/>
    <hyperlink xmlns:r="http://schemas.openxmlformats.org/officeDocument/2006/relationships" ref="J426" r:id="rId425"/>
    <hyperlink xmlns:r="http://schemas.openxmlformats.org/officeDocument/2006/relationships" ref="J427" r:id="rId426"/>
    <hyperlink xmlns:r="http://schemas.openxmlformats.org/officeDocument/2006/relationships" ref="J428" r:id="rId427"/>
    <hyperlink xmlns:r="http://schemas.openxmlformats.org/officeDocument/2006/relationships" ref="J429" r:id="rId428"/>
    <hyperlink xmlns:r="http://schemas.openxmlformats.org/officeDocument/2006/relationships" ref="J430" r:id="rId429"/>
    <hyperlink xmlns:r="http://schemas.openxmlformats.org/officeDocument/2006/relationships" ref="J431" r:id="rId430"/>
    <hyperlink xmlns:r="http://schemas.openxmlformats.org/officeDocument/2006/relationships" ref="J432" r:id="rId431"/>
    <hyperlink xmlns:r="http://schemas.openxmlformats.org/officeDocument/2006/relationships" ref="J433" r:id="rId432"/>
    <hyperlink xmlns:r="http://schemas.openxmlformats.org/officeDocument/2006/relationships" ref="J434" r:id="rId433"/>
    <hyperlink xmlns:r="http://schemas.openxmlformats.org/officeDocument/2006/relationships" ref="J435" r:id="rId434"/>
    <hyperlink xmlns:r="http://schemas.openxmlformats.org/officeDocument/2006/relationships" ref="J436" r:id="rId435"/>
    <hyperlink xmlns:r="http://schemas.openxmlformats.org/officeDocument/2006/relationships" ref="J437" r:id="rId436"/>
    <hyperlink xmlns:r="http://schemas.openxmlformats.org/officeDocument/2006/relationships" ref="J438" r:id="rId437"/>
    <hyperlink xmlns:r="http://schemas.openxmlformats.org/officeDocument/2006/relationships" ref="J439" r:id="rId438"/>
    <hyperlink xmlns:r="http://schemas.openxmlformats.org/officeDocument/2006/relationships" ref="J440" r:id="rId439"/>
    <hyperlink xmlns:r="http://schemas.openxmlformats.org/officeDocument/2006/relationships" ref="J441" r:id="rId440"/>
    <hyperlink xmlns:r="http://schemas.openxmlformats.org/officeDocument/2006/relationships" ref="J442" r:id="rId441"/>
    <hyperlink xmlns:r="http://schemas.openxmlformats.org/officeDocument/2006/relationships" ref="J443" r:id="rId442"/>
    <hyperlink xmlns:r="http://schemas.openxmlformats.org/officeDocument/2006/relationships" ref="J444" r:id="rId443"/>
    <hyperlink xmlns:r="http://schemas.openxmlformats.org/officeDocument/2006/relationships" ref="J445" r:id="rId444"/>
    <hyperlink xmlns:r="http://schemas.openxmlformats.org/officeDocument/2006/relationships" ref="J446" r:id="rId445"/>
    <hyperlink xmlns:r="http://schemas.openxmlformats.org/officeDocument/2006/relationships" ref="J447" r:id="rId446"/>
    <hyperlink xmlns:r="http://schemas.openxmlformats.org/officeDocument/2006/relationships" ref="J448" r:id="rId447"/>
    <hyperlink xmlns:r="http://schemas.openxmlformats.org/officeDocument/2006/relationships" ref="J449" r:id="rId448"/>
    <hyperlink xmlns:r="http://schemas.openxmlformats.org/officeDocument/2006/relationships" ref="J450" r:id="rId449"/>
    <hyperlink xmlns:r="http://schemas.openxmlformats.org/officeDocument/2006/relationships" ref="J451" r:id="rId450"/>
    <hyperlink xmlns:r="http://schemas.openxmlformats.org/officeDocument/2006/relationships" ref="J452" r:id="rId451"/>
    <hyperlink xmlns:r="http://schemas.openxmlformats.org/officeDocument/2006/relationships" ref="J453" r:id="rId452"/>
    <hyperlink xmlns:r="http://schemas.openxmlformats.org/officeDocument/2006/relationships" ref="J454" r:id="rId453"/>
    <hyperlink xmlns:r="http://schemas.openxmlformats.org/officeDocument/2006/relationships" ref="J455" r:id="rId454"/>
    <hyperlink xmlns:r="http://schemas.openxmlformats.org/officeDocument/2006/relationships" ref="J456" r:id="rId455"/>
    <hyperlink xmlns:r="http://schemas.openxmlformats.org/officeDocument/2006/relationships" ref="J457" r:id="rId456"/>
    <hyperlink xmlns:r="http://schemas.openxmlformats.org/officeDocument/2006/relationships" ref="J458" r:id="rId457"/>
    <hyperlink xmlns:r="http://schemas.openxmlformats.org/officeDocument/2006/relationships" ref="J459" r:id="rId458"/>
    <hyperlink xmlns:r="http://schemas.openxmlformats.org/officeDocument/2006/relationships" ref="J460" r:id="rId459"/>
    <hyperlink xmlns:r="http://schemas.openxmlformats.org/officeDocument/2006/relationships" ref="J461" r:id="rId460"/>
    <hyperlink xmlns:r="http://schemas.openxmlformats.org/officeDocument/2006/relationships" ref="J462" r:id="rId461"/>
    <hyperlink xmlns:r="http://schemas.openxmlformats.org/officeDocument/2006/relationships" ref="J463" r:id="rId462"/>
    <hyperlink xmlns:r="http://schemas.openxmlformats.org/officeDocument/2006/relationships" ref="J464" r:id="rId463"/>
    <hyperlink xmlns:r="http://schemas.openxmlformats.org/officeDocument/2006/relationships" ref="J465" r:id="rId464"/>
    <hyperlink xmlns:r="http://schemas.openxmlformats.org/officeDocument/2006/relationships" ref="J466" r:id="rId465"/>
    <hyperlink xmlns:r="http://schemas.openxmlformats.org/officeDocument/2006/relationships" ref="J467" r:id="rId466"/>
    <hyperlink xmlns:r="http://schemas.openxmlformats.org/officeDocument/2006/relationships" ref="J468" r:id="rId467"/>
    <hyperlink xmlns:r="http://schemas.openxmlformats.org/officeDocument/2006/relationships" ref="J469" r:id="rId468"/>
    <hyperlink xmlns:r="http://schemas.openxmlformats.org/officeDocument/2006/relationships" ref="J470" r:id="rId469"/>
    <hyperlink xmlns:r="http://schemas.openxmlformats.org/officeDocument/2006/relationships" ref="J471" r:id="rId470"/>
    <hyperlink xmlns:r="http://schemas.openxmlformats.org/officeDocument/2006/relationships" ref="J472" r:id="rId471"/>
    <hyperlink xmlns:r="http://schemas.openxmlformats.org/officeDocument/2006/relationships" ref="J473" r:id="rId472"/>
    <hyperlink xmlns:r="http://schemas.openxmlformats.org/officeDocument/2006/relationships" ref="J474" r:id="rId473"/>
    <hyperlink xmlns:r="http://schemas.openxmlformats.org/officeDocument/2006/relationships" ref="J475" r:id="rId474"/>
    <hyperlink xmlns:r="http://schemas.openxmlformats.org/officeDocument/2006/relationships" ref="J476" r:id="rId475"/>
    <hyperlink xmlns:r="http://schemas.openxmlformats.org/officeDocument/2006/relationships" ref="J477" r:id="rId476"/>
    <hyperlink xmlns:r="http://schemas.openxmlformats.org/officeDocument/2006/relationships" ref="J478" r:id="rId477"/>
    <hyperlink xmlns:r="http://schemas.openxmlformats.org/officeDocument/2006/relationships" ref="J479" r:id="rId478"/>
    <hyperlink xmlns:r="http://schemas.openxmlformats.org/officeDocument/2006/relationships" ref="J480" r:id="rId479"/>
    <hyperlink xmlns:r="http://schemas.openxmlformats.org/officeDocument/2006/relationships" ref="J481" r:id="rId480"/>
    <hyperlink xmlns:r="http://schemas.openxmlformats.org/officeDocument/2006/relationships" ref="J482" r:id="rId481"/>
    <hyperlink xmlns:r="http://schemas.openxmlformats.org/officeDocument/2006/relationships" ref="J483" r:id="rId482"/>
    <hyperlink xmlns:r="http://schemas.openxmlformats.org/officeDocument/2006/relationships" ref="J484" r:id="rId483"/>
    <hyperlink xmlns:r="http://schemas.openxmlformats.org/officeDocument/2006/relationships" ref="J485" r:id="rId484"/>
    <hyperlink xmlns:r="http://schemas.openxmlformats.org/officeDocument/2006/relationships" ref="J486" r:id="rId485"/>
    <hyperlink xmlns:r="http://schemas.openxmlformats.org/officeDocument/2006/relationships" ref="J487" r:id="rId486"/>
    <hyperlink xmlns:r="http://schemas.openxmlformats.org/officeDocument/2006/relationships" ref="J488" r:id="rId487"/>
    <hyperlink xmlns:r="http://schemas.openxmlformats.org/officeDocument/2006/relationships" ref="J489" r:id="rId488"/>
    <hyperlink xmlns:r="http://schemas.openxmlformats.org/officeDocument/2006/relationships" ref="J490" r:id="rId489"/>
    <hyperlink xmlns:r="http://schemas.openxmlformats.org/officeDocument/2006/relationships" ref="J491" r:id="rId490"/>
    <hyperlink xmlns:r="http://schemas.openxmlformats.org/officeDocument/2006/relationships" ref="J492" r:id="rId491"/>
    <hyperlink xmlns:r="http://schemas.openxmlformats.org/officeDocument/2006/relationships" ref="J493" r:id="rId492"/>
    <hyperlink xmlns:r="http://schemas.openxmlformats.org/officeDocument/2006/relationships" ref="J494" r:id="rId493"/>
    <hyperlink xmlns:r="http://schemas.openxmlformats.org/officeDocument/2006/relationships" ref="J495" r:id="rId494"/>
    <hyperlink xmlns:r="http://schemas.openxmlformats.org/officeDocument/2006/relationships" ref="J496" r:id="rId495"/>
    <hyperlink xmlns:r="http://schemas.openxmlformats.org/officeDocument/2006/relationships" ref="J497" r:id="rId496"/>
    <hyperlink xmlns:r="http://schemas.openxmlformats.org/officeDocument/2006/relationships" ref="J498" r:id="rId497"/>
    <hyperlink xmlns:r="http://schemas.openxmlformats.org/officeDocument/2006/relationships" ref="J499" r:id="rId498"/>
    <hyperlink xmlns:r="http://schemas.openxmlformats.org/officeDocument/2006/relationships" ref="J500" r:id="rId499"/>
    <hyperlink xmlns:r="http://schemas.openxmlformats.org/officeDocument/2006/relationships" ref="J501" r:id="rId500"/>
    <hyperlink xmlns:r="http://schemas.openxmlformats.org/officeDocument/2006/relationships" ref="J502" r:id="rId501"/>
    <hyperlink xmlns:r="http://schemas.openxmlformats.org/officeDocument/2006/relationships" ref="J503" r:id="rId502"/>
    <hyperlink xmlns:r="http://schemas.openxmlformats.org/officeDocument/2006/relationships" ref="J504" r:id="rId503"/>
    <hyperlink xmlns:r="http://schemas.openxmlformats.org/officeDocument/2006/relationships" ref="J505" r:id="rId504"/>
    <hyperlink xmlns:r="http://schemas.openxmlformats.org/officeDocument/2006/relationships" ref="J506" r:id="rId505"/>
    <hyperlink xmlns:r="http://schemas.openxmlformats.org/officeDocument/2006/relationships" ref="J507" r:id="rId506"/>
    <hyperlink xmlns:r="http://schemas.openxmlformats.org/officeDocument/2006/relationships" ref="J508" r:id="rId507"/>
    <hyperlink xmlns:r="http://schemas.openxmlformats.org/officeDocument/2006/relationships" ref="J509" r:id="rId508"/>
    <hyperlink xmlns:r="http://schemas.openxmlformats.org/officeDocument/2006/relationships" ref="J510" r:id="rId509"/>
    <hyperlink xmlns:r="http://schemas.openxmlformats.org/officeDocument/2006/relationships" ref="J511" r:id="rId510"/>
    <hyperlink xmlns:r="http://schemas.openxmlformats.org/officeDocument/2006/relationships" ref="J512" r:id="rId511"/>
    <hyperlink xmlns:r="http://schemas.openxmlformats.org/officeDocument/2006/relationships" ref="J513" r:id="rId512"/>
    <hyperlink xmlns:r="http://schemas.openxmlformats.org/officeDocument/2006/relationships" ref="J514" r:id="rId513"/>
    <hyperlink xmlns:r="http://schemas.openxmlformats.org/officeDocument/2006/relationships" ref="J515" r:id="rId514"/>
    <hyperlink xmlns:r="http://schemas.openxmlformats.org/officeDocument/2006/relationships" ref="J516" r:id="rId515"/>
    <hyperlink xmlns:r="http://schemas.openxmlformats.org/officeDocument/2006/relationships" ref="J517" r:id="rId516"/>
    <hyperlink xmlns:r="http://schemas.openxmlformats.org/officeDocument/2006/relationships" ref="J518" r:id="rId517"/>
    <hyperlink xmlns:r="http://schemas.openxmlformats.org/officeDocument/2006/relationships" ref="J519" r:id="rId518"/>
    <hyperlink xmlns:r="http://schemas.openxmlformats.org/officeDocument/2006/relationships" ref="J520" r:id="rId519"/>
    <hyperlink xmlns:r="http://schemas.openxmlformats.org/officeDocument/2006/relationships" ref="J521" r:id="rId520"/>
    <hyperlink xmlns:r="http://schemas.openxmlformats.org/officeDocument/2006/relationships" ref="J522" r:id="rId521"/>
    <hyperlink xmlns:r="http://schemas.openxmlformats.org/officeDocument/2006/relationships" ref="J523" r:id="rId522"/>
    <hyperlink xmlns:r="http://schemas.openxmlformats.org/officeDocument/2006/relationships" ref="J524" r:id="rId523"/>
    <hyperlink xmlns:r="http://schemas.openxmlformats.org/officeDocument/2006/relationships" ref="J525" r:id="rId524"/>
    <hyperlink xmlns:r="http://schemas.openxmlformats.org/officeDocument/2006/relationships" ref="J526" r:id="rId525"/>
    <hyperlink xmlns:r="http://schemas.openxmlformats.org/officeDocument/2006/relationships" ref="J527" r:id="rId526"/>
    <hyperlink xmlns:r="http://schemas.openxmlformats.org/officeDocument/2006/relationships" ref="J528" r:id="rId527"/>
    <hyperlink xmlns:r="http://schemas.openxmlformats.org/officeDocument/2006/relationships" ref="J529" r:id="rId528"/>
    <hyperlink xmlns:r="http://schemas.openxmlformats.org/officeDocument/2006/relationships" ref="J530" r:id="rId529"/>
    <hyperlink xmlns:r="http://schemas.openxmlformats.org/officeDocument/2006/relationships" ref="J531" r:id="rId530"/>
    <hyperlink xmlns:r="http://schemas.openxmlformats.org/officeDocument/2006/relationships" ref="J532" r:id="rId531"/>
    <hyperlink xmlns:r="http://schemas.openxmlformats.org/officeDocument/2006/relationships" ref="J533" r:id="rId532"/>
    <hyperlink xmlns:r="http://schemas.openxmlformats.org/officeDocument/2006/relationships" ref="J534" r:id="rId533"/>
    <hyperlink xmlns:r="http://schemas.openxmlformats.org/officeDocument/2006/relationships" ref="J535" r:id="rId534"/>
    <hyperlink xmlns:r="http://schemas.openxmlformats.org/officeDocument/2006/relationships" ref="J536" r:id="rId535"/>
    <hyperlink xmlns:r="http://schemas.openxmlformats.org/officeDocument/2006/relationships" ref="J537" r:id="rId536"/>
    <hyperlink xmlns:r="http://schemas.openxmlformats.org/officeDocument/2006/relationships" ref="J538" r:id="rId537"/>
    <hyperlink xmlns:r="http://schemas.openxmlformats.org/officeDocument/2006/relationships" ref="J539" r:id="rId538"/>
    <hyperlink xmlns:r="http://schemas.openxmlformats.org/officeDocument/2006/relationships" ref="J540" r:id="rId539"/>
    <hyperlink xmlns:r="http://schemas.openxmlformats.org/officeDocument/2006/relationships" ref="J541" r:id="rId540"/>
    <hyperlink xmlns:r="http://schemas.openxmlformats.org/officeDocument/2006/relationships" ref="J542" r:id="rId541"/>
    <hyperlink xmlns:r="http://schemas.openxmlformats.org/officeDocument/2006/relationships" ref="J543" r:id="rId542"/>
    <hyperlink xmlns:r="http://schemas.openxmlformats.org/officeDocument/2006/relationships" ref="J544" r:id="rId543"/>
    <hyperlink xmlns:r="http://schemas.openxmlformats.org/officeDocument/2006/relationships" ref="J545" r:id="rId544"/>
    <hyperlink xmlns:r="http://schemas.openxmlformats.org/officeDocument/2006/relationships" ref="J546" r:id="rId545"/>
    <hyperlink xmlns:r="http://schemas.openxmlformats.org/officeDocument/2006/relationships" ref="J547" r:id="rId546"/>
    <hyperlink xmlns:r="http://schemas.openxmlformats.org/officeDocument/2006/relationships" ref="J548" r:id="rId547"/>
    <hyperlink xmlns:r="http://schemas.openxmlformats.org/officeDocument/2006/relationships" ref="J549" r:id="rId548"/>
    <hyperlink xmlns:r="http://schemas.openxmlformats.org/officeDocument/2006/relationships" ref="J550" r:id="rId549"/>
    <hyperlink xmlns:r="http://schemas.openxmlformats.org/officeDocument/2006/relationships" ref="J551" r:id="rId550"/>
    <hyperlink xmlns:r="http://schemas.openxmlformats.org/officeDocument/2006/relationships" ref="J552" r:id="rId551"/>
    <hyperlink xmlns:r="http://schemas.openxmlformats.org/officeDocument/2006/relationships" ref="J553" r:id="rId552"/>
    <hyperlink xmlns:r="http://schemas.openxmlformats.org/officeDocument/2006/relationships" ref="J554" r:id="rId553"/>
    <hyperlink xmlns:r="http://schemas.openxmlformats.org/officeDocument/2006/relationships" ref="J555" r:id="rId554"/>
    <hyperlink xmlns:r="http://schemas.openxmlformats.org/officeDocument/2006/relationships" ref="J556" r:id="rId555"/>
    <hyperlink xmlns:r="http://schemas.openxmlformats.org/officeDocument/2006/relationships" ref="J557" r:id="rId556"/>
    <hyperlink xmlns:r="http://schemas.openxmlformats.org/officeDocument/2006/relationships" ref="J558" r:id="rId557"/>
    <hyperlink xmlns:r="http://schemas.openxmlformats.org/officeDocument/2006/relationships" ref="J559" r:id="rId558"/>
    <hyperlink xmlns:r="http://schemas.openxmlformats.org/officeDocument/2006/relationships" ref="J560" r:id="rId559"/>
    <hyperlink xmlns:r="http://schemas.openxmlformats.org/officeDocument/2006/relationships" ref="J561" r:id="rId560"/>
    <hyperlink xmlns:r="http://schemas.openxmlformats.org/officeDocument/2006/relationships" ref="J562" r:id="rId561"/>
    <hyperlink xmlns:r="http://schemas.openxmlformats.org/officeDocument/2006/relationships" ref="J563" r:id="rId562"/>
    <hyperlink xmlns:r="http://schemas.openxmlformats.org/officeDocument/2006/relationships" ref="J564" r:id="rId563"/>
    <hyperlink xmlns:r="http://schemas.openxmlformats.org/officeDocument/2006/relationships" ref="J565" r:id="rId564"/>
    <hyperlink xmlns:r="http://schemas.openxmlformats.org/officeDocument/2006/relationships" ref="J566" r:id="rId565"/>
    <hyperlink xmlns:r="http://schemas.openxmlformats.org/officeDocument/2006/relationships" ref="J567" r:id="rId566"/>
    <hyperlink xmlns:r="http://schemas.openxmlformats.org/officeDocument/2006/relationships" ref="J568" r:id="rId567"/>
    <hyperlink xmlns:r="http://schemas.openxmlformats.org/officeDocument/2006/relationships" ref="J569" r:id="rId568"/>
    <hyperlink xmlns:r="http://schemas.openxmlformats.org/officeDocument/2006/relationships" ref="J570" r:id="rId569"/>
    <hyperlink xmlns:r="http://schemas.openxmlformats.org/officeDocument/2006/relationships" ref="J571" r:id="rId570"/>
    <hyperlink xmlns:r="http://schemas.openxmlformats.org/officeDocument/2006/relationships" ref="J572" r:id="rId571"/>
    <hyperlink xmlns:r="http://schemas.openxmlformats.org/officeDocument/2006/relationships" ref="J573" r:id="rId572"/>
    <hyperlink xmlns:r="http://schemas.openxmlformats.org/officeDocument/2006/relationships" ref="J574" r:id="rId573"/>
    <hyperlink xmlns:r="http://schemas.openxmlformats.org/officeDocument/2006/relationships" ref="J575" r:id="rId574"/>
    <hyperlink xmlns:r="http://schemas.openxmlformats.org/officeDocument/2006/relationships" ref="J576" r:id="rId575"/>
    <hyperlink xmlns:r="http://schemas.openxmlformats.org/officeDocument/2006/relationships" ref="J577" r:id="rId576"/>
    <hyperlink xmlns:r="http://schemas.openxmlformats.org/officeDocument/2006/relationships" ref="J578" r:id="rId577"/>
    <hyperlink xmlns:r="http://schemas.openxmlformats.org/officeDocument/2006/relationships" ref="J579" r:id="rId578"/>
    <hyperlink xmlns:r="http://schemas.openxmlformats.org/officeDocument/2006/relationships" ref="J580" r:id="rId579"/>
    <hyperlink xmlns:r="http://schemas.openxmlformats.org/officeDocument/2006/relationships" ref="J581" r:id="rId580"/>
    <hyperlink xmlns:r="http://schemas.openxmlformats.org/officeDocument/2006/relationships" ref="J582" r:id="rId581"/>
    <hyperlink xmlns:r="http://schemas.openxmlformats.org/officeDocument/2006/relationships" ref="J583" r:id="rId582"/>
    <hyperlink xmlns:r="http://schemas.openxmlformats.org/officeDocument/2006/relationships" ref="J584" r:id="rId583"/>
    <hyperlink xmlns:r="http://schemas.openxmlformats.org/officeDocument/2006/relationships" ref="J585" r:id="rId584"/>
    <hyperlink xmlns:r="http://schemas.openxmlformats.org/officeDocument/2006/relationships" ref="J586" r:id="rId585"/>
    <hyperlink xmlns:r="http://schemas.openxmlformats.org/officeDocument/2006/relationships" ref="J587" r:id="rId586"/>
    <hyperlink xmlns:r="http://schemas.openxmlformats.org/officeDocument/2006/relationships" ref="J588" r:id="rId587"/>
    <hyperlink xmlns:r="http://schemas.openxmlformats.org/officeDocument/2006/relationships" ref="J589" r:id="rId588"/>
    <hyperlink xmlns:r="http://schemas.openxmlformats.org/officeDocument/2006/relationships" ref="J590" r:id="rId589"/>
    <hyperlink xmlns:r="http://schemas.openxmlformats.org/officeDocument/2006/relationships" ref="J591" r:id="rId590"/>
    <hyperlink xmlns:r="http://schemas.openxmlformats.org/officeDocument/2006/relationships" ref="J592" r:id="rId591"/>
    <hyperlink xmlns:r="http://schemas.openxmlformats.org/officeDocument/2006/relationships" ref="J593" r:id="rId592"/>
    <hyperlink xmlns:r="http://schemas.openxmlformats.org/officeDocument/2006/relationships" ref="J594" r:id="rId593"/>
    <hyperlink xmlns:r="http://schemas.openxmlformats.org/officeDocument/2006/relationships" ref="J595" r:id="rId594"/>
    <hyperlink xmlns:r="http://schemas.openxmlformats.org/officeDocument/2006/relationships" ref="J596" r:id="rId595"/>
    <hyperlink xmlns:r="http://schemas.openxmlformats.org/officeDocument/2006/relationships" ref="J597" r:id="rId596"/>
    <hyperlink xmlns:r="http://schemas.openxmlformats.org/officeDocument/2006/relationships" ref="J598" r:id="rId597"/>
    <hyperlink xmlns:r="http://schemas.openxmlformats.org/officeDocument/2006/relationships" ref="J599" r:id="rId598"/>
    <hyperlink xmlns:r="http://schemas.openxmlformats.org/officeDocument/2006/relationships" ref="J600" r:id="rId599"/>
    <hyperlink xmlns:r="http://schemas.openxmlformats.org/officeDocument/2006/relationships" ref="J601" r:id="rId600"/>
    <hyperlink xmlns:r="http://schemas.openxmlformats.org/officeDocument/2006/relationships" ref="J602" r:id="rId601"/>
    <hyperlink xmlns:r="http://schemas.openxmlformats.org/officeDocument/2006/relationships" ref="J603" r:id="rId602"/>
    <hyperlink xmlns:r="http://schemas.openxmlformats.org/officeDocument/2006/relationships" ref="J604" r:id="rId603"/>
    <hyperlink xmlns:r="http://schemas.openxmlformats.org/officeDocument/2006/relationships" ref="J605" r:id="rId604"/>
    <hyperlink xmlns:r="http://schemas.openxmlformats.org/officeDocument/2006/relationships" ref="J606" r:id="rId605"/>
    <hyperlink xmlns:r="http://schemas.openxmlformats.org/officeDocument/2006/relationships" ref="J607" r:id="rId606"/>
    <hyperlink xmlns:r="http://schemas.openxmlformats.org/officeDocument/2006/relationships" ref="J608" r:id="rId607"/>
    <hyperlink xmlns:r="http://schemas.openxmlformats.org/officeDocument/2006/relationships" ref="J609" r:id="rId608"/>
    <hyperlink xmlns:r="http://schemas.openxmlformats.org/officeDocument/2006/relationships" ref="J610" r:id="rId609"/>
    <hyperlink xmlns:r="http://schemas.openxmlformats.org/officeDocument/2006/relationships" ref="J611" r:id="rId610"/>
    <hyperlink xmlns:r="http://schemas.openxmlformats.org/officeDocument/2006/relationships" ref="J612" r:id="rId611"/>
    <hyperlink xmlns:r="http://schemas.openxmlformats.org/officeDocument/2006/relationships" ref="J613" r:id="rId612"/>
    <hyperlink xmlns:r="http://schemas.openxmlformats.org/officeDocument/2006/relationships" ref="J614" r:id="rId613"/>
    <hyperlink xmlns:r="http://schemas.openxmlformats.org/officeDocument/2006/relationships" ref="J615" r:id="rId614"/>
    <hyperlink xmlns:r="http://schemas.openxmlformats.org/officeDocument/2006/relationships" ref="J616" r:id="rId615"/>
    <hyperlink xmlns:r="http://schemas.openxmlformats.org/officeDocument/2006/relationships" ref="J617" r:id="rId616"/>
    <hyperlink xmlns:r="http://schemas.openxmlformats.org/officeDocument/2006/relationships" ref="J618" r:id="rId617"/>
    <hyperlink xmlns:r="http://schemas.openxmlformats.org/officeDocument/2006/relationships" ref="J619" r:id="rId618"/>
    <hyperlink xmlns:r="http://schemas.openxmlformats.org/officeDocument/2006/relationships" ref="J620" r:id="rId619"/>
    <hyperlink xmlns:r="http://schemas.openxmlformats.org/officeDocument/2006/relationships" ref="J621" r:id="rId620"/>
    <hyperlink xmlns:r="http://schemas.openxmlformats.org/officeDocument/2006/relationships" ref="J622" r:id="rId621"/>
    <hyperlink xmlns:r="http://schemas.openxmlformats.org/officeDocument/2006/relationships" ref="J623" r:id="rId622"/>
    <hyperlink xmlns:r="http://schemas.openxmlformats.org/officeDocument/2006/relationships" ref="J624" r:id="rId623"/>
    <hyperlink xmlns:r="http://schemas.openxmlformats.org/officeDocument/2006/relationships" ref="J625" r:id="rId624"/>
    <hyperlink xmlns:r="http://schemas.openxmlformats.org/officeDocument/2006/relationships" ref="J626" r:id="rId625"/>
    <hyperlink xmlns:r="http://schemas.openxmlformats.org/officeDocument/2006/relationships" ref="J627" r:id="rId626"/>
    <hyperlink xmlns:r="http://schemas.openxmlformats.org/officeDocument/2006/relationships" ref="J628" r:id="rId627"/>
    <hyperlink xmlns:r="http://schemas.openxmlformats.org/officeDocument/2006/relationships" ref="J629" r:id="rId628"/>
    <hyperlink xmlns:r="http://schemas.openxmlformats.org/officeDocument/2006/relationships" ref="J630" r:id="rId629"/>
    <hyperlink xmlns:r="http://schemas.openxmlformats.org/officeDocument/2006/relationships" ref="J631" r:id="rId630"/>
    <hyperlink xmlns:r="http://schemas.openxmlformats.org/officeDocument/2006/relationships" ref="J632" r:id="rId631"/>
    <hyperlink xmlns:r="http://schemas.openxmlformats.org/officeDocument/2006/relationships" ref="J633" r:id="rId632"/>
    <hyperlink xmlns:r="http://schemas.openxmlformats.org/officeDocument/2006/relationships" ref="J634" r:id="rId633"/>
    <hyperlink xmlns:r="http://schemas.openxmlformats.org/officeDocument/2006/relationships" ref="J635" r:id="rId634"/>
    <hyperlink xmlns:r="http://schemas.openxmlformats.org/officeDocument/2006/relationships" ref="J636" r:id="rId635"/>
    <hyperlink xmlns:r="http://schemas.openxmlformats.org/officeDocument/2006/relationships" ref="J637" r:id="rId636"/>
    <hyperlink xmlns:r="http://schemas.openxmlformats.org/officeDocument/2006/relationships" ref="J638" r:id="rId637"/>
    <hyperlink xmlns:r="http://schemas.openxmlformats.org/officeDocument/2006/relationships" ref="J639" r:id="rId638"/>
    <hyperlink xmlns:r="http://schemas.openxmlformats.org/officeDocument/2006/relationships" ref="J640" r:id="rId639"/>
    <hyperlink xmlns:r="http://schemas.openxmlformats.org/officeDocument/2006/relationships" ref="J641" r:id="rId640"/>
    <hyperlink xmlns:r="http://schemas.openxmlformats.org/officeDocument/2006/relationships" ref="J642" r:id="rId641"/>
    <hyperlink xmlns:r="http://schemas.openxmlformats.org/officeDocument/2006/relationships" ref="J643" r:id="rId642"/>
    <hyperlink xmlns:r="http://schemas.openxmlformats.org/officeDocument/2006/relationships" ref="J644" r:id="rId643"/>
    <hyperlink xmlns:r="http://schemas.openxmlformats.org/officeDocument/2006/relationships" ref="J645" r:id="rId644"/>
    <hyperlink xmlns:r="http://schemas.openxmlformats.org/officeDocument/2006/relationships" ref="J646" r:id="rId645"/>
    <hyperlink xmlns:r="http://schemas.openxmlformats.org/officeDocument/2006/relationships" ref="J647" r:id="rId646"/>
    <hyperlink xmlns:r="http://schemas.openxmlformats.org/officeDocument/2006/relationships" ref="J648" r:id="rId647"/>
    <hyperlink xmlns:r="http://schemas.openxmlformats.org/officeDocument/2006/relationships" ref="J649" r:id="rId648"/>
    <hyperlink xmlns:r="http://schemas.openxmlformats.org/officeDocument/2006/relationships" ref="J650" r:id="rId649"/>
    <hyperlink xmlns:r="http://schemas.openxmlformats.org/officeDocument/2006/relationships" ref="J651" r:id="rId650"/>
    <hyperlink xmlns:r="http://schemas.openxmlformats.org/officeDocument/2006/relationships" ref="J652" r:id="rId651"/>
    <hyperlink xmlns:r="http://schemas.openxmlformats.org/officeDocument/2006/relationships" ref="J653" r:id="rId652"/>
    <hyperlink xmlns:r="http://schemas.openxmlformats.org/officeDocument/2006/relationships" ref="J654" r:id="rId653"/>
    <hyperlink xmlns:r="http://schemas.openxmlformats.org/officeDocument/2006/relationships" ref="J655" r:id="rId654"/>
    <hyperlink xmlns:r="http://schemas.openxmlformats.org/officeDocument/2006/relationships" ref="J656" r:id="rId655"/>
    <hyperlink xmlns:r="http://schemas.openxmlformats.org/officeDocument/2006/relationships" ref="J657" r:id="rId656"/>
    <hyperlink xmlns:r="http://schemas.openxmlformats.org/officeDocument/2006/relationships" ref="J658" r:id="rId657"/>
    <hyperlink xmlns:r="http://schemas.openxmlformats.org/officeDocument/2006/relationships" ref="J659" r:id="rId658"/>
    <hyperlink xmlns:r="http://schemas.openxmlformats.org/officeDocument/2006/relationships" ref="J660" r:id="rId659"/>
    <hyperlink xmlns:r="http://schemas.openxmlformats.org/officeDocument/2006/relationships" ref="J661" r:id="rId660"/>
    <hyperlink xmlns:r="http://schemas.openxmlformats.org/officeDocument/2006/relationships" ref="J662" r:id="rId661"/>
    <hyperlink xmlns:r="http://schemas.openxmlformats.org/officeDocument/2006/relationships" ref="J663" r:id="rId662"/>
    <hyperlink xmlns:r="http://schemas.openxmlformats.org/officeDocument/2006/relationships" ref="J664" r:id="rId663"/>
    <hyperlink xmlns:r="http://schemas.openxmlformats.org/officeDocument/2006/relationships" ref="J665" r:id="rId664"/>
    <hyperlink xmlns:r="http://schemas.openxmlformats.org/officeDocument/2006/relationships" ref="J666" r:id="rId665"/>
    <hyperlink xmlns:r="http://schemas.openxmlformats.org/officeDocument/2006/relationships" ref="J667" r:id="rId666"/>
    <hyperlink xmlns:r="http://schemas.openxmlformats.org/officeDocument/2006/relationships" ref="J668" r:id="rId667"/>
    <hyperlink xmlns:r="http://schemas.openxmlformats.org/officeDocument/2006/relationships" ref="J669" r:id="rId668"/>
    <hyperlink xmlns:r="http://schemas.openxmlformats.org/officeDocument/2006/relationships" ref="J670" r:id="rId669"/>
    <hyperlink xmlns:r="http://schemas.openxmlformats.org/officeDocument/2006/relationships" ref="J671" r:id="rId670"/>
    <hyperlink xmlns:r="http://schemas.openxmlformats.org/officeDocument/2006/relationships" ref="J672" r:id="rId671"/>
    <hyperlink xmlns:r="http://schemas.openxmlformats.org/officeDocument/2006/relationships" ref="J673" r:id="rId672"/>
    <hyperlink xmlns:r="http://schemas.openxmlformats.org/officeDocument/2006/relationships" ref="J674" r:id="rId673"/>
    <hyperlink xmlns:r="http://schemas.openxmlformats.org/officeDocument/2006/relationships" ref="J675" r:id="rId674"/>
    <hyperlink xmlns:r="http://schemas.openxmlformats.org/officeDocument/2006/relationships" ref="J676" r:id="rId675"/>
    <hyperlink xmlns:r="http://schemas.openxmlformats.org/officeDocument/2006/relationships" ref="J677" r:id="rId676"/>
    <hyperlink xmlns:r="http://schemas.openxmlformats.org/officeDocument/2006/relationships" ref="J678" r:id="rId677"/>
    <hyperlink xmlns:r="http://schemas.openxmlformats.org/officeDocument/2006/relationships" ref="J679" r:id="rId678"/>
    <hyperlink xmlns:r="http://schemas.openxmlformats.org/officeDocument/2006/relationships" ref="J680" r:id="rId679"/>
    <hyperlink xmlns:r="http://schemas.openxmlformats.org/officeDocument/2006/relationships" ref="J681" r:id="rId680"/>
    <hyperlink xmlns:r="http://schemas.openxmlformats.org/officeDocument/2006/relationships" ref="J682" r:id="rId681"/>
    <hyperlink xmlns:r="http://schemas.openxmlformats.org/officeDocument/2006/relationships" ref="J683" r:id="rId682"/>
    <hyperlink xmlns:r="http://schemas.openxmlformats.org/officeDocument/2006/relationships" ref="J684" r:id="rId683"/>
    <hyperlink xmlns:r="http://schemas.openxmlformats.org/officeDocument/2006/relationships" ref="J685" r:id="rId684"/>
    <hyperlink xmlns:r="http://schemas.openxmlformats.org/officeDocument/2006/relationships" ref="J686" r:id="rId685"/>
    <hyperlink xmlns:r="http://schemas.openxmlformats.org/officeDocument/2006/relationships" ref="J687" r:id="rId686"/>
    <hyperlink xmlns:r="http://schemas.openxmlformats.org/officeDocument/2006/relationships" ref="J688" r:id="rId687"/>
    <hyperlink xmlns:r="http://schemas.openxmlformats.org/officeDocument/2006/relationships" ref="J689" r:id="rId688"/>
    <hyperlink xmlns:r="http://schemas.openxmlformats.org/officeDocument/2006/relationships" ref="J690" r:id="rId689"/>
    <hyperlink xmlns:r="http://schemas.openxmlformats.org/officeDocument/2006/relationships" ref="J691" r:id="rId690"/>
    <hyperlink xmlns:r="http://schemas.openxmlformats.org/officeDocument/2006/relationships" ref="J692" r:id="rId691"/>
    <hyperlink xmlns:r="http://schemas.openxmlformats.org/officeDocument/2006/relationships" ref="J693" r:id="rId692"/>
    <hyperlink xmlns:r="http://schemas.openxmlformats.org/officeDocument/2006/relationships" ref="J694" r:id="rId693"/>
    <hyperlink xmlns:r="http://schemas.openxmlformats.org/officeDocument/2006/relationships" ref="J695" r:id="rId694"/>
    <hyperlink xmlns:r="http://schemas.openxmlformats.org/officeDocument/2006/relationships" ref="J696" r:id="rId695"/>
    <hyperlink xmlns:r="http://schemas.openxmlformats.org/officeDocument/2006/relationships" ref="J697" r:id="rId696"/>
    <hyperlink xmlns:r="http://schemas.openxmlformats.org/officeDocument/2006/relationships" ref="J698" r:id="rId697"/>
    <hyperlink xmlns:r="http://schemas.openxmlformats.org/officeDocument/2006/relationships" ref="J699" r:id="rId698"/>
    <hyperlink xmlns:r="http://schemas.openxmlformats.org/officeDocument/2006/relationships" ref="J700" r:id="rId699"/>
    <hyperlink xmlns:r="http://schemas.openxmlformats.org/officeDocument/2006/relationships" ref="J701" r:id="rId700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0" customWidth="1" min="3" max="3"/>
    <col width="8" customWidth="1" min="4" max="4"/>
    <col width="80" customWidth="1" min="5" max="5"/>
  </cols>
  <sheetData>
    <row r="1">
      <c r="A1" s="2" t="inlineStr">
        <is>
          <t>지표</t>
        </is>
      </c>
      <c r="B1" s="2" t="inlineStr">
        <is>
          <t>계산 가능</t>
        </is>
      </c>
      <c r="C1" s="2" t="inlineStr">
        <is>
          <t>평가 대상</t>
        </is>
      </c>
      <c r="D1" s="2" t="inlineStr">
        <is>
          <t>비율</t>
        </is>
      </c>
      <c r="E1" s="2" t="inlineStr">
        <is>
          <t>무효 사유</t>
        </is>
      </c>
    </row>
    <row r="2">
      <c r="A2" t="inlineStr">
        <is>
          <t>E/P</t>
        </is>
      </c>
      <c r="B2" t="n">
        <v>25</v>
      </c>
      <c r="C2" t="n">
        <v>25</v>
      </c>
      <c r="D2" t="inlineStr">
        <is>
          <t>100%</t>
        </is>
      </c>
      <c r="E2" t="inlineStr"/>
    </row>
    <row r="3">
      <c r="A3" t="inlineStr">
        <is>
          <t>B/P</t>
        </is>
      </c>
      <c r="B3" t="n">
        <v>25</v>
      </c>
      <c r="C3" t="n">
        <v>25</v>
      </c>
      <c r="D3" t="inlineStr">
        <is>
          <t>100%</t>
        </is>
      </c>
      <c r="E3" t="inlineStr"/>
    </row>
    <row r="4">
      <c r="A4" t="inlineStr">
        <is>
          <t>EBIT/EV</t>
        </is>
      </c>
      <c r="B4" t="n">
        <v>24</v>
      </c>
      <c r="C4" t="n">
        <v>25</v>
      </c>
      <c r="D4" t="inlineStr">
        <is>
          <t>96%</t>
        </is>
      </c>
      <c r="E4" t="inlineStr">
        <is>
          <t>EV 비정상 1</t>
        </is>
      </c>
    </row>
    <row r="5">
      <c r="A5" t="inlineStr">
        <is>
          <t>EBITDA/EV(실험)</t>
        </is>
      </c>
      <c r="B5" t="n">
        <v>3</v>
      </c>
      <c r="C5" t="n">
        <v>25</v>
      </c>
      <c r="D5" t="inlineStr">
        <is>
          <t>12%</t>
        </is>
      </c>
      <c r="E5" t="inlineStr">
        <is>
          <t>EBITDA 구성 계정 없음 22</t>
        </is>
      </c>
    </row>
    <row r="6">
      <c r="A6" t="inlineStr">
        <is>
          <t>ROE</t>
        </is>
      </c>
      <c r="B6" t="n">
        <v>25</v>
      </c>
      <c r="C6" t="n">
        <v>25</v>
      </c>
      <c r="D6" t="inlineStr">
        <is>
          <t>100%</t>
        </is>
      </c>
      <c r="E6" t="inlineStr"/>
    </row>
    <row r="7">
      <c r="A7" t="inlineStr">
        <is>
          <t>GP/A</t>
        </is>
      </c>
      <c r="B7" t="n">
        <v>22</v>
      </c>
      <c r="C7" t="n">
        <v>25</v>
      </c>
      <c r="D7" t="inlineStr">
        <is>
          <t>88%</t>
        </is>
      </c>
      <c r="E7" t="inlineStr">
        <is>
          <t>데이터 없음 3</t>
        </is>
      </c>
    </row>
    <row r="8">
      <c r="A8" t="inlineStr">
        <is>
          <t>CFO/NI</t>
        </is>
      </c>
      <c r="B8" t="n">
        <v>14</v>
      </c>
      <c r="C8" t="n">
        <v>25</v>
      </c>
      <c r="D8" t="inlineStr">
        <is>
          <t>56%</t>
        </is>
      </c>
      <c r="E8" t="inlineStr">
        <is>
          <t>순이익 ≤ 0 11</t>
        </is>
      </c>
    </row>
    <row r="9">
      <c r="A9" t="inlineStr">
        <is>
          <t>이자보상배율</t>
        </is>
      </c>
      <c r="B9" t="n">
        <v>25</v>
      </c>
      <c r="C9" t="n">
        <v>25</v>
      </c>
      <c r="D9" t="inlineStr">
        <is>
          <t>100%</t>
        </is>
      </c>
      <c r="E9" t="inlineStr"/>
    </row>
    <row r="10">
      <c r="A10" t="inlineStr">
        <is>
          <t>영업이익증가율</t>
        </is>
      </c>
      <c r="B10" t="n">
        <v>17</v>
      </c>
      <c r="C10" t="n">
        <v>25</v>
      </c>
      <c r="D10" t="inlineStr">
        <is>
          <t>68%</t>
        </is>
      </c>
      <c r="E10" t="inlineStr">
        <is>
          <t>값 없음 8</t>
        </is>
      </c>
    </row>
    <row r="11">
      <c r="A11" t="inlineStr">
        <is>
          <t>12-1모멘텀</t>
        </is>
      </c>
      <c r="B11" t="n">
        <v>23</v>
      </c>
      <c r="C11" t="n">
        <v>25</v>
      </c>
      <c r="D11" t="inlineStr">
        <is>
          <t>92%</t>
        </is>
      </c>
      <c r="E11" t="inlineStr">
        <is>
          <t>가격 이력 부족(13개월 미만) 2</t>
        </is>
      </c>
    </row>
    <row r="13">
      <c r="A13" t="inlineStr">
        <is>
          <t>평가 제외 회사</t>
        </is>
      </c>
      <c r="B13" t="inlineStr">
        <is>
          <t>상태</t>
        </is>
      </c>
      <c r="C13" t="inlineStr">
        <is>
          <t>사유</t>
        </is>
      </c>
    </row>
    <row r="14">
      <c r="A14" t="inlineStr">
        <is>
          <t>신세계건설</t>
        </is>
      </c>
      <c r="B14" t="inlineStr">
        <is>
          <t>no_price</t>
        </is>
      </c>
      <c r="C14" t="inlineStr">
        <is>
          <t>KRX 백필 기간에 시세 없음</t>
        </is>
      </c>
    </row>
    <row r="15">
      <c r="A15" t="inlineStr">
        <is>
          <t>엠브레인</t>
        </is>
      </c>
      <c r="B15" t="inlineStr">
        <is>
          <t>excluded_non_dec</t>
        </is>
      </c>
      <c r="C15" t="inlineStr">
        <is>
          <t>12월 외 결산 → 1단계 TTM 무효 (DESIGN 4.3)</t>
        </is>
      </c>
    </row>
    <row r="16">
      <c r="A16" t="inlineStr">
        <is>
          <t>형지엘리트</t>
        </is>
      </c>
      <c r="B16" t="inlineStr">
        <is>
          <t>excluded_non_dec</t>
        </is>
      </c>
      <c r="C16" t="inlineStr">
        <is>
          <t>12월 외 결산 → 1단계 TTM 무효 (DESIGN 4.3)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2026-11-02T00:52:34Z</dcterms:created>
  <dcterms:modified xmlns:dcterms="http://purl.org/dc/terms/" xmlns:xsi="http://www.w3.org/2001/XMLSchema-instance" xsi:type="dcterms:W3CDTF">2026-11-02T00:52:34Z</dcterms:modified>
</cp:coreProperties>
</file>